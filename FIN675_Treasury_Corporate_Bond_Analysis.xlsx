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kommataruni/OneDrive_1_5-3-2026/"/>
    </mc:Choice>
  </mc:AlternateContent>
  <xr:revisionPtr revIDLastSave="0" documentId="13_ncr:1_{7A5E0BA5-9B43-EA46-8BB8-7B40E17F5977}" xr6:coauthVersionLast="47" xr6:coauthVersionMax="47" xr10:uidLastSave="{00000000-0000-0000-0000-000000000000}"/>
  <bookViews>
    <workbookView xWindow="0" yWindow="660" windowWidth="29400" windowHeight="17280" tabRatio="500" activeTab="5" xr2:uid="{00000000-000D-0000-FFFF-FFFF00000000}"/>
  </bookViews>
  <sheets>
    <sheet name="Cover" sheetId="1" r:id="rId1"/>
    <sheet name="Yield Curve" sheetId="2" r:id="rId2"/>
    <sheet name="Treasury Bond" sheetId="3" r:id="rId3"/>
    <sheet name="Corporate Bond" sheetId="4" r:id="rId4"/>
    <sheet name="Rate Shock" sheetId="5" r:id="rId5"/>
    <sheet name="Duration Model" sheetId="6" r:id="rId6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<sst xmlns="http://schemas.openxmlformats.org/spreadsheetml/2006/main" count="297" uniqueCount="219">
  <si>
    <t>FIN 675 — Fixed Income Analysis: Bloomberg Terminal Assignment</t>
  </si>
  <si>
    <t>Excel Appendix — Duration-Based Price Change Analysis</t>
  </si>
  <si>
    <t>Worksheet Index</t>
  </si>
  <si>
    <t>Sheet 1</t>
  </si>
  <si>
    <t>Yield Curve</t>
  </si>
  <si>
    <t>Current U.S. Treasury yield curve data + historical comparison</t>
  </si>
  <si>
    <t>Sheet 2</t>
  </si>
  <si>
    <t>Treasury Bond</t>
  </si>
  <si>
    <t>T 4-1/8 02/15/36 — bond characteristics + risk measures</t>
  </si>
  <si>
    <t>Sheet 3</t>
  </si>
  <si>
    <t>Corporate Bond</t>
  </si>
  <si>
    <t>MSFT 3-1/2 02/12/35 — credit spread analysis</t>
  </si>
  <si>
    <t>Sheet 4</t>
  </si>
  <si>
    <t>Rate Shock</t>
  </si>
  <si>
    <t>Duration-based price change vs. Bloomberg full valuation</t>
  </si>
  <si>
    <t>Sheet 5</t>
  </si>
  <si>
    <t>Duration Model</t>
  </si>
  <si>
    <t>Full duration + convexity price change model for all scenarios</t>
  </si>
  <si>
    <t>Part A — Yield Curve Analysis (Bloomberg BTMM, April 10, 2026)</t>
  </si>
  <si>
    <t>Current U.S. Treasury Yield Curve — April 10, 2026</t>
  </si>
  <si>
    <t>Maturity</t>
  </si>
  <si>
    <t>Yield (%)</t>
  </si>
  <si>
    <t>Price (Index)</t>
  </si>
  <si>
    <t>Spread vs. 3M (bps)</t>
  </si>
  <si>
    <t>Notes</t>
  </si>
  <si>
    <t>3 Month</t>
  </si>
  <si>
    <t>—</t>
  </si>
  <si>
    <t>Short-term; Fed policy sensitive</t>
  </si>
  <si>
    <t>6 Month</t>
  </si>
  <si>
    <t>Short-term</t>
  </si>
  <si>
    <t>2 Year</t>
  </si>
  <si>
    <t>Fed policy expectations</t>
  </si>
  <si>
    <t>5 Year</t>
  </si>
  <si>
    <t>Medium-term</t>
  </si>
  <si>
    <t>10 Year</t>
  </si>
  <si>
    <t>Benchmark rate</t>
  </si>
  <si>
    <t>30 Year</t>
  </si>
  <si>
    <t>Long-term inflation premium</t>
  </si>
  <si>
    <t>Source: Bloomberg Terminal BTMM — April 10, 2026</t>
  </si>
  <si>
    <t>Historical Comparison — 3M to 10Y Spread (USYC3M10 Index)</t>
  </si>
  <si>
    <t>Period</t>
  </si>
  <si>
    <t>3M–10Y Spread (bps)</t>
  </si>
  <si>
    <t>Curve Shape</t>
  </si>
  <si>
    <t>Primary Driver</t>
  </si>
  <si>
    <t>Apr–May 2025</t>
  </si>
  <si>
    <t>Slightly Upward</t>
  </si>
  <si>
    <t>Fed pause</t>
  </si>
  <si>
    <t>Jun–Jul 2025</t>
  </si>
  <si>
    <t>Flat / Inverted</t>
  </si>
  <si>
    <t>Recession fears</t>
  </si>
  <si>
    <t>Low: -12.9 bps on Apr 30, 2025</t>
  </si>
  <si>
    <t>Aug–Oct 2025</t>
  </si>
  <si>
    <t>Steepening</t>
  </si>
  <si>
    <t>Rate cut expectations</t>
  </si>
  <si>
    <t>Nov 2025–Mar 2026</t>
  </si>
  <si>
    <t>Upward Sloping</t>
  </si>
  <si>
    <t>Fed easing cycle</t>
  </si>
  <si>
    <t>High: 73.3 bps on Mar 27, 2026</t>
  </si>
  <si>
    <t>Apr 10, 2026</t>
  </si>
  <si>
    <t>Ongoing easing</t>
  </si>
  <si>
    <t>Current — Bloomberg live data</t>
  </si>
  <si>
    <t>Part B — Treasury Bond Analysis: T 4-1/8 02/15/2036 (Bloomberg DES + YAS)</t>
  </si>
  <si>
    <t>Task 3 — Bond Characteristics (DES Screen)</t>
  </si>
  <si>
    <t>Field</t>
  </si>
  <si>
    <t>Value (Bloomberg)</t>
  </si>
  <si>
    <t>Source</t>
  </si>
  <si>
    <t>Security</t>
  </si>
  <si>
    <t>T 4-1/8 02/15/2036</t>
  </si>
  <si>
    <t>10-year U.S. Treasury Note</t>
  </si>
  <si>
    <t>Bloomberg DES</t>
  </si>
  <si>
    <t>CUSIP</t>
  </si>
  <si>
    <t>91282CPZ8</t>
  </si>
  <si>
    <t>Unique identifier</t>
  </si>
  <si>
    <t>Coupon Rate</t>
  </si>
  <si>
    <t>Semi-annual payments</t>
  </si>
  <si>
    <t>Maturity Date</t>
  </si>
  <si>
    <t>02/15/2036</t>
  </si>
  <si>
    <t>~10 years to maturity</t>
  </si>
  <si>
    <t>Issue Date</t>
  </si>
  <si>
    <t>02/17/2026</t>
  </si>
  <si>
    <t>Recently issued</t>
  </si>
  <si>
    <t>Price (% of par)</t>
  </si>
  <si>
    <t>Trading at discount: YTM &gt; coupon</t>
  </si>
  <si>
    <t>Bloomberg YAS</t>
  </si>
  <si>
    <t>Yield to Maturity</t>
  </si>
  <si>
    <t>Street convention, semi-annual</t>
  </si>
  <si>
    <t>Accrued Interest</t>
  </si>
  <si>
    <t>57 days since last coupon</t>
  </si>
  <si>
    <t>Current Yield</t>
  </si>
  <si>
    <t>Annual coupon / clean price</t>
  </si>
  <si>
    <t>Settlement Date</t>
  </si>
  <si>
    <t>04/13/2026</t>
  </si>
  <si>
    <t>T+3 settlement</t>
  </si>
  <si>
    <t>DV01 per $1MM</t>
  </si>
  <si>
    <t>Dollar value of 1 bp move</t>
  </si>
  <si>
    <t>Task 4 — Risk Measures (YAS Screen)</t>
  </si>
  <si>
    <t>Risk Measure</t>
  </si>
  <si>
    <t>Value</t>
  </si>
  <si>
    <t>Interpretation</t>
  </si>
  <si>
    <t>Modified Duration</t>
  </si>
  <si>
    <t>% price change per 1% yield move</t>
  </si>
  <si>
    <t>Macaulay Duration</t>
  </si>
  <si>
    <t>Weighted avg. time to cash flows (yrs)</t>
  </si>
  <si>
    <t>Convexity</t>
  </si>
  <si>
    <t>Curvature of price-yield relationship</t>
  </si>
  <si>
    <t>DV01 (per $1MM)</t>
  </si>
  <si>
    <t>Dollar price change per 1 bp</t>
  </si>
  <si>
    <t>Quick Duration Price Change Calculator</t>
  </si>
  <si>
    <t>Current Price</t>
  </si>
  <si>
    <t>Yield Change (bps) — INPUT</t>
  </si>
  <si>
    <t>← Change this to run scenarios</t>
  </si>
  <si>
    <t>KEY INPUT</t>
  </si>
  <si>
    <t>Estimated Price Change (Duration)</t>
  </si>
  <si>
    <t>Estimated New Price</t>
  </si>
  <si>
    <t>Convexity Adjustment</t>
  </si>
  <si>
    <t>Price Change with Convexity</t>
  </si>
  <si>
    <t>New Price with Convexity</t>
  </si>
  <si>
    <t>Part C — Corporate Bond Analysis: MSFT 3-1/2 02/12/2035 (Bloomberg YAS)</t>
  </si>
  <si>
    <t>Task 5 &amp; 6 — Bond Data &amp; Credit Spread Analysis</t>
  </si>
  <si>
    <t>MSFT 3-1/2 02/12/2035</t>
  </si>
  <si>
    <t>Microsoft Corp bond</t>
  </si>
  <si>
    <t>594918BC7</t>
  </si>
  <si>
    <t>Credit Rating</t>
  </si>
  <si>
    <t>AAA / Aaa</t>
  </si>
  <si>
    <t>Highest investment grade</t>
  </si>
  <si>
    <t>S&amp;P / Moody's</t>
  </si>
  <si>
    <t>Trading at discount to par</t>
  </si>
  <si>
    <t>Benchmark Treasury</t>
  </si>
  <si>
    <t>Comparable maturity US Treasury</t>
  </si>
  <si>
    <t>Treasury YTM</t>
  </si>
  <si>
    <t>Benchmark yield</t>
  </si>
  <si>
    <t>G-Spread</t>
  </si>
  <si>
    <t>Corporate YTM minus interpolated Tsy</t>
  </si>
  <si>
    <t>OAS</t>
  </si>
  <si>
    <t>Spread adjusted for call optionality</t>
  </si>
  <si>
    <t>Z-Spread</t>
  </si>
  <si>
    <t>Spread over zero-coupon curve</t>
  </si>
  <si>
    <t>I-Spread</t>
  </si>
  <si>
    <t>Spread over interpolated swap rate</t>
  </si>
  <si>
    <t>% price sensitivity to yield</t>
  </si>
  <si>
    <t>Weighted avg. time to cash flows</t>
  </si>
  <si>
    <t>Price-yield curvature</t>
  </si>
  <si>
    <t>Dollar value of 1 bp</t>
  </si>
  <si>
    <t>61 days accrued</t>
  </si>
  <si>
    <t>Credit Spread Analysis — Corporate vs. Treasury</t>
  </si>
  <si>
    <t>Spread Measure</t>
  </si>
  <si>
    <t>Basis Points</t>
  </si>
  <si>
    <t>% Form</t>
  </si>
  <si>
    <t>G-Spread (G-Sprd)</t>
  </si>
  <si>
    <t>Simple yield diff vs. interpolated Treasury</t>
  </si>
  <si>
    <t>Spread after removing call option value</t>
  </si>
  <si>
    <t>Spread over zero-coupon swap curve</t>
  </si>
  <si>
    <t>Part D — Rate Shock Analysis: MSFT 3-1/2 02/12/2035 (+100 bps Parallel Shift)</t>
  </si>
  <si>
    <t>Bloomberg YAS: Before vs. After +100 bps Shock</t>
  </si>
  <si>
    <t>Metric</t>
  </si>
  <si>
    <t>Before Shock</t>
  </si>
  <si>
    <t>After +100 bps</t>
  </si>
  <si>
    <t>Change</t>
  </si>
  <si>
    <t>Yield</t>
  </si>
  <si>
    <t>Duration-Based Price Change Calculation</t>
  </si>
  <si>
    <t>Modified Duration (D_mod)</t>
  </si>
  <si>
    <t>From Bloomberg YAS</t>
  </si>
  <si>
    <t>Yield Change (Δy)</t>
  </si>
  <si>
    <t>+ 100 bps parallel shift (user input)</t>
  </si>
  <si>
    <t>← KEY INPUT — change to run scenarios</t>
  </si>
  <si>
    <t>Starting Price (P)</t>
  </si>
  <si>
    <t>Price before shock</t>
  </si>
  <si>
    <t>Duration Estimate: ΔP = -D*Δy*P</t>
  </si>
  <si>
    <t>Formula: -D_mod × Δy × P</t>
  </si>
  <si>
    <t>Estimated New Price (Duration)</t>
  </si>
  <si>
    <t>Starting price + duration estimate</t>
  </si>
  <si>
    <t>Convexity-Adjusted Price Change (More Accurate)</t>
  </si>
  <si>
    <t>Convexity (C)</t>
  </si>
  <si>
    <t>Convexity Adjustment: ½×C×(Δy)²×P</t>
  </si>
  <si>
    <t>Adds back positive convexity benefit</t>
  </si>
  <si>
    <t>Total Price Change (Dur + Conv)</t>
  </si>
  <si>
    <t>Duration estimate + convexity</t>
  </si>
  <si>
    <t>More accurate estimate</t>
  </si>
  <si>
    <t>Comparison: Duration Estimate vs. Bloomberg Full Valuation</t>
  </si>
  <si>
    <t>Method</t>
  </si>
  <si>
    <t>Price Change</t>
  </si>
  <si>
    <t>Implied New Price</t>
  </si>
  <si>
    <t>Error vs. Bloomberg</t>
  </si>
  <si>
    <t>Duration-Only Estimate</t>
  </si>
  <si>
    <t>Duration + Convexity Estimate</t>
  </si>
  <si>
    <t>Bloomberg Full Valuation</t>
  </si>
  <si>
    <t>Benchmark</t>
  </si>
  <si>
    <t>Source: Bloomberg Terminal YAS screen — MSFT 3-1/2 02/12/2035 Corp — April 10, 2026</t>
  </si>
  <si>
    <t>Duration &amp; Convexity Price Change Model — Scenario Analysis (Both Bonds)</t>
  </si>
  <si>
    <t>Bond Inputs — Linked from Other Sheets</t>
  </si>
  <si>
    <t>Parameter</t>
  </si>
  <si>
    <t>Units</t>
  </si>
  <si>
    <t>years</t>
  </si>
  <si>
    <t>% price change per 1% yield</t>
  </si>
  <si>
    <t>% par</t>
  </si>
  <si>
    <t>Clean price</t>
  </si>
  <si>
    <t>Current YTM</t>
  </si>
  <si>
    <t>%</t>
  </si>
  <si>
    <t>Yield to maturity</t>
  </si>
  <si>
    <t>Scenario Analysis — Price Impact of Yield Changes</t>
  </si>
  <si>
    <t>Yield Shift</t>
  </si>
  <si>
    <t>T-Bond: Dur Only</t>
  </si>
  <si>
    <t>T-Bond: Dur+Conv</t>
  </si>
  <si>
    <t>T-Bond: New Price</t>
  </si>
  <si>
    <t>Corp: Dur Only</t>
  </si>
  <si>
    <t>Corp: Dur+Conv</t>
  </si>
  <si>
    <t>Corp: New Price</t>
  </si>
  <si>
    <t>-200 bps</t>
  </si>
  <si>
    <t>-150 bps</t>
  </si>
  <si>
    <t>-100 bps</t>
  </si>
  <si>
    <t>-50 bps</t>
  </si>
  <si>
    <t>-25 bps</t>
  </si>
  <si>
    <t>0 bps</t>
  </si>
  <si>
    <t>+25 bps</t>
  </si>
  <si>
    <t>+50 bps</t>
  </si>
  <si>
    <t>+100 bps</t>
  </si>
  <si>
    <t>+150 bps</t>
  </si>
  <si>
    <t>+200 bps</t>
  </si>
  <si>
    <t>Spring 2026  | Bloomberg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</si>
</sst>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%"/>
    <numFmt numFmtId="165" formatCode="0.0&quot; bps&quot;"/>
    <numFmt numFmtId="166" formatCode="\$#,##0.00"/>
    <numFmt numFmtId="167" formatCode="\$#,##0"/>
    <numFmt numFmtId="168" formatCode="0.000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3"/>
      <color rgb="FF1F3864"/>
      <name val="Arial"/>
      <family val="2"/>
    </font>
    <font>
      <b/>
      <sz val="11"/>
      <color rgb="FF1F3864"/>
      <name val="Arial"/>
      <family val="2"/>
    </font>
    <font>
      <b/>
      <sz val="10"/>
      <color rgb="FF0000FF"/>
      <name val="Arial"/>
      <family val="2"/>
    </font>
    <font>
      <sz val="10"/>
      <color rgb="FF333333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0"/>
      <color rgb="FF1F3864"/>
      <name val="Arial"/>
      <family val="2"/>
    </font>
    <font>
      <b/>
      <sz val="10"/>
      <color rgb="FF333333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9"/>
      <color rgb="FF666666"/>
      <name val="Arial"/>
      <family val="2"/>
    </font>
    <font>
      <i/>
      <sz val="9"/>
      <color rgb="FFFF6600"/>
      <name val="Arial"/>
      <family val="2"/>
    </font>
    <font>
      <b/>
      <sz val="9"/>
      <color rgb="FF333333"/>
      <name val="Arial"/>
      <family val="2"/>
    </font>
    <font>
      <b/>
      <sz val="10"/>
      <color rgb="FF666666"/>
      <name val="Arial"/>
      <family val="2"/>
    </font>
    <font>
      <sz val="10"/>
      <color rgb="FF66666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8A"/>
        <bgColor rgb="FF666666"/>
      </patternFill>
    </fill>
    <fill>
      <patternFill patternType="solid">
        <fgColor rgb="FFEAF2FB"/>
        <bgColor rgb="FFE8F5E9"/>
      </patternFill>
    </fill>
    <fill>
      <patternFill patternType="solid">
        <fgColor rgb="FFFDECEA"/>
        <bgColor rgb="FFEAF2FB"/>
      </patternFill>
    </fill>
    <fill>
      <patternFill patternType="solid">
        <fgColor rgb="FFE8F5E9"/>
        <bgColor rgb="FFEAF2FB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164" fontId="12" fillId="0" borderId="3" xfId="0" applyNumberFormat="1" applyFont="1" applyBorder="1" applyAlignment="1">
      <alignment horizontal="right" vertical="center"/>
    </xf>
    <xf numFmtId="2" fontId="12" fillId="0" borderId="3" xfId="0" applyNumberFormat="1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5" fillId="4" borderId="3" xfId="0" applyFont="1" applyFill="1" applyBorder="1" applyAlignment="1">
      <alignment horizontal="left" vertical="center" wrapText="1"/>
    </xf>
    <xf numFmtId="164" fontId="12" fillId="4" borderId="3" xfId="0" applyNumberFormat="1" applyFont="1" applyFill="1" applyBorder="1" applyAlignment="1">
      <alignment horizontal="right" vertical="center"/>
    </xf>
    <xf numFmtId="2" fontId="12" fillId="4" borderId="3" xfId="0" applyNumberFormat="1" applyFont="1" applyFill="1" applyBorder="1" applyAlignment="1">
      <alignment horizontal="right" vertical="center"/>
    </xf>
    <xf numFmtId="165" fontId="13" fillId="4" borderId="3" xfId="0" applyNumberFormat="1" applyFont="1" applyFill="1" applyBorder="1" applyAlignment="1">
      <alignment horizontal="right" vertical="center"/>
    </xf>
    <xf numFmtId="165" fontId="13" fillId="0" borderId="3" xfId="0" applyNumberFormat="1" applyFont="1" applyBorder="1" applyAlignment="1">
      <alignment horizontal="right" vertical="center"/>
    </xf>
    <xf numFmtId="0" fontId="14" fillId="0" borderId="0" xfId="0" applyFont="1"/>
    <xf numFmtId="165" fontId="12" fillId="0" borderId="3" xfId="0" applyNumberFormat="1" applyFont="1" applyBorder="1" applyAlignment="1">
      <alignment horizontal="right" vertical="center"/>
    </xf>
    <xf numFmtId="0" fontId="5" fillId="5" borderId="3" xfId="0" applyFont="1" applyFill="1" applyBorder="1" applyAlignment="1">
      <alignment horizontal="left" vertical="center" wrapText="1"/>
    </xf>
    <xf numFmtId="165" fontId="12" fillId="5" borderId="3" xfId="0" applyNumberFormat="1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left" vertical="center" wrapText="1"/>
    </xf>
    <xf numFmtId="165" fontId="12" fillId="6" borderId="3" xfId="0" applyNumberFormat="1" applyFont="1" applyFill="1" applyBorder="1" applyAlignment="1">
      <alignment horizontal="right" vertical="center"/>
    </xf>
    <xf numFmtId="0" fontId="9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right" vertical="center"/>
    </xf>
    <xf numFmtId="0" fontId="9" fillId="4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right" vertical="center"/>
    </xf>
    <xf numFmtId="166" fontId="12" fillId="4" borderId="3" xfId="0" applyNumberFormat="1" applyFont="1" applyFill="1" applyBorder="1" applyAlignment="1">
      <alignment horizontal="right" vertical="center"/>
    </xf>
    <xf numFmtId="167" fontId="12" fillId="0" borderId="3" xfId="0" applyNumberFormat="1" applyFont="1" applyBorder="1" applyAlignment="1">
      <alignment horizontal="right" vertical="center"/>
    </xf>
    <xf numFmtId="168" fontId="12" fillId="4" borderId="3" xfId="0" applyNumberFormat="1" applyFont="1" applyFill="1" applyBorder="1" applyAlignment="1">
      <alignment horizontal="right" vertical="center"/>
    </xf>
    <xf numFmtId="168" fontId="12" fillId="0" borderId="3" xfId="0" applyNumberFormat="1" applyFont="1" applyBorder="1" applyAlignment="1">
      <alignment horizontal="right" vertical="center"/>
    </xf>
    <xf numFmtId="168" fontId="13" fillId="0" borderId="3" xfId="0" applyNumberFormat="1" applyFont="1" applyBorder="1" applyAlignment="1">
      <alignment horizontal="right" vertical="center"/>
    </xf>
    <xf numFmtId="164" fontId="13" fillId="0" borderId="3" xfId="0" applyNumberFormat="1" applyFont="1" applyBorder="1" applyAlignment="1">
      <alignment horizontal="right" vertical="center"/>
    </xf>
    <xf numFmtId="10" fontId="12" fillId="0" borderId="3" xfId="0" applyNumberFormat="1" applyFont="1" applyBorder="1" applyAlignment="1">
      <alignment horizontal="right" vertical="center"/>
    </xf>
    <xf numFmtId="0" fontId="15" fillId="0" borderId="0" xfId="0" applyFont="1"/>
    <xf numFmtId="0" fontId="16" fillId="7" borderId="0" xfId="0" applyFont="1" applyFill="1" applyAlignment="1">
      <alignment horizontal="center" vertical="center" wrapText="1"/>
    </xf>
    <xf numFmtId="164" fontId="6" fillId="0" borderId="3" xfId="0" applyNumberFormat="1" applyFont="1" applyBorder="1" applyAlignment="1">
      <alignment horizontal="right" vertical="center"/>
    </xf>
    <xf numFmtId="166" fontId="12" fillId="0" borderId="3" xfId="0" applyNumberFormat="1" applyFont="1" applyBorder="1" applyAlignment="1">
      <alignment horizontal="right" vertical="center"/>
    </xf>
    <xf numFmtId="165" fontId="12" fillId="4" borderId="3" xfId="0" applyNumberFormat="1" applyFont="1" applyFill="1" applyBorder="1" applyAlignment="1">
      <alignment horizontal="right" vertical="center"/>
    </xf>
    <xf numFmtId="164" fontId="12" fillId="5" borderId="3" xfId="0" applyNumberFormat="1" applyFont="1" applyFill="1" applyBorder="1" applyAlignment="1">
      <alignment horizontal="right" vertical="center"/>
    </xf>
    <xf numFmtId="167" fontId="12" fillId="5" borderId="3" xfId="0" applyNumberFormat="1" applyFont="1" applyFill="1" applyBorder="1" applyAlignment="1">
      <alignment horizontal="right" vertical="center"/>
    </xf>
    <xf numFmtId="167" fontId="13" fillId="0" borderId="3" xfId="0" applyNumberFormat="1" applyFont="1" applyBorder="1" applyAlignment="1">
      <alignment horizontal="right" vertical="center"/>
    </xf>
    <xf numFmtId="0" fontId="14" fillId="0" borderId="3" xfId="0" applyFont="1" applyBorder="1" applyAlignment="1">
      <alignment horizontal="left" vertical="center" wrapText="1"/>
    </xf>
    <xf numFmtId="164" fontId="12" fillId="7" borderId="3" xfId="0" applyNumberFormat="1" applyFont="1" applyFill="1" applyBorder="1" applyAlignment="1">
      <alignment horizontal="right" vertical="center"/>
    </xf>
    <xf numFmtId="0" fontId="15" fillId="0" borderId="3" xfId="0" applyFont="1" applyBorder="1" applyAlignment="1">
      <alignment horizontal="left" vertical="center"/>
    </xf>
    <xf numFmtId="164" fontId="6" fillId="6" borderId="3" xfId="0" applyNumberFormat="1" applyFont="1" applyFill="1" applyBorder="1" applyAlignment="1">
      <alignment horizontal="right" vertical="center"/>
    </xf>
    <xf numFmtId="0" fontId="9" fillId="5" borderId="3" xfId="0" applyFont="1" applyFill="1" applyBorder="1" applyAlignment="1">
      <alignment horizontal="left" vertical="center" wrapText="1"/>
    </xf>
    <xf numFmtId="164" fontId="13" fillId="5" borderId="3" xfId="0" applyNumberFormat="1" applyFont="1" applyFill="1" applyBorder="1" applyAlignment="1">
      <alignment horizontal="right" vertical="center"/>
    </xf>
    <xf numFmtId="0" fontId="9" fillId="6" borderId="3" xfId="0" applyFont="1" applyFill="1" applyBorder="1" applyAlignment="1">
      <alignment horizontal="left" vertical="center" wrapText="1"/>
    </xf>
    <xf numFmtId="164" fontId="13" fillId="6" borderId="3" xfId="0" applyNumberFormat="1" applyFont="1" applyFill="1" applyBorder="1" applyAlignment="1">
      <alignment horizontal="right" vertical="center"/>
    </xf>
    <xf numFmtId="0" fontId="17" fillId="4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64" fontId="13" fillId="4" borderId="3" xfId="0" applyNumberFormat="1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center" vertical="center" wrapText="1"/>
    </xf>
    <xf numFmtId="164" fontId="6" fillId="5" borderId="3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0" borderId="0" xfId="0" applyFont="1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168" fontId="12" fillId="0" borderId="3" xfId="0" applyNumberFormat="1" applyFont="1" applyBorder="1" applyAlignment="1">
      <alignment horizontal="right" vertical="center"/>
    </xf>
    <xf numFmtId="168" fontId="12" fillId="4" borderId="3" xfId="0" applyNumberFormat="1" applyFont="1" applyFill="1" applyBorder="1" applyAlignment="1">
      <alignment horizontal="right" vertical="center"/>
    </xf>
    <xf numFmtId="168" fontId="13" fillId="0" borderId="3" xfId="0" applyNumberFormat="1" applyFont="1" applyBorder="1" applyAlignment="1">
      <alignment horizontal="right" vertical="center"/>
    </xf>
    <xf numFmtId="168" fontId="12" fillId="5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E8F5E9"/>
      <rgbColor rgb="FFEAF2FB"/>
      <rgbColor rgb="FF660066"/>
      <rgbColor rgb="FFFF8080"/>
      <rgbColor rgb="FF2E5F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U.S. Treasury Yield Curve — April 10,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'Yield Curve'!$B$4</c:f>
              <c:strCache>
                <c:ptCount val="1"/>
                <c:pt idx="0">
                  <c:v>Yield (%)</c:v>
                </c:pt>
              </c:strCache>
            </c:strRef>
          </c:tx>
          <c:spPr>
            <a:ln w="2484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'Yield Curve'!$A$5:$A$10</c:f>
              <c:strCache>
                <c:ptCount val="6"/>
                <c:pt idx="0">
                  <c:v>3 Month</c:v>
                </c:pt>
                <c:pt idx="1">
                  <c:v>6 Month</c:v>
                </c:pt>
                <c:pt idx="2">
                  <c:v>2 Year</c:v>
                </c:pt>
                <c:pt idx="3">
                  <c:v>5 Year</c:v>
                </c:pt>
                <c:pt idx="4">
                  <c:v>10 Year</c:v>
                </c:pt>
                <c:pt idx="5">
                  <c:v>30 Year</c:v>
                </c:pt>
              </c:strCache>
            </c:strRef>
          </c:cat>
          <c:val>
            <c:numRef>
              <c:f>'Yield Curve'!$B$5:$B$10</c:f>
              <c:numCache>
                <c:formatCode>0.000%</c:formatCode>
                <c:ptCount val="6"/>
                <c:pt idx="0">
                  <c:v>3.6700000000000003E-2</c:v>
                </c:pt>
                <c:pt idx="1">
                  <c:v>3.6900000000000002E-2</c:v>
                </c:pt>
                <c:pt idx="2">
                  <c:v>3.8080000000000003E-2</c:v>
                </c:pt>
                <c:pt idx="3">
                  <c:v>3.9410000000000001E-2</c:v>
                </c:pt>
                <c:pt idx="4">
                  <c:v>4.317E-2</c:v>
                </c:pt>
                <c:pt idx="5">
                  <c:v>4.9200000000000001E-2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42-F84D-9E15-83CE73A92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4481446"/>
        <c:axId val="79625734"/>
      </c:lineChart>
      <c:catAx>
        <c:axId val="344814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Maturity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625734"/>
        <c:crosses val="autoZero"/>
        <c:auto val="1"/>
        <c:lblAlgn val="ctr"/>
        <c:lblOffset val="100"/>
        <c:noMultiLvlLbl val="0"/>
      </c:catAx>
      <c:valAx>
        <c:axId val="79625734"/>
        <c:scaling>
          <c:orientation val="minMax"/>
          <c:max val="5.5E-2"/>
          <c:min val="0.03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Yield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4814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Price Impact of Yield Changes — Duration + Convexity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'Duration Model'!$C$12</c:f>
              <c:strCache>
                <c:ptCount val="1"/>
                <c:pt idx="0">
                  <c:v>T-Bond: Dur+Conv</c:v>
                </c:pt>
              </c:strCache>
            </c:strRef>
          </c:tx>
          <c:spPr>
            <a:ln w="201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'Duration Model'!$A$13:$A$23</c:f>
              <c:strCache>
                <c:ptCount val="11"/>
                <c:pt idx="0">
                  <c:v>-200 bps</c:v>
                </c:pt>
                <c:pt idx="1">
                  <c:v>-150 bps</c:v>
                </c:pt>
                <c:pt idx="2">
                  <c:v>-100 bps</c:v>
                </c:pt>
                <c:pt idx="3">
                  <c:v>-50 bps</c:v>
                </c:pt>
                <c:pt idx="4">
                  <c:v>-25 bps</c:v>
                </c:pt>
                <c:pt idx="5">
                  <c:v>0 bps</c:v>
                </c:pt>
                <c:pt idx="6">
                  <c:v>+25 bps</c:v>
                </c:pt>
                <c:pt idx="7">
                  <c:v>+50 bps</c:v>
                </c:pt>
                <c:pt idx="8">
                  <c:v>+100 bps</c:v>
                </c:pt>
                <c:pt idx="9">
                  <c:v>+150 bps</c:v>
                </c:pt>
                <c:pt idx="10">
                  <c:v>+200 bps</c:v>
                </c:pt>
              </c:strCache>
            </c:strRef>
          </c:cat>
          <c:val>
            <c:numRef>
              <c:f>'Duration Model'!$C$13:$C$23</c:f>
              <c:numCache>
                <c:formatCode>0.000%</c:formatCode>
                <c:ptCount val="11"/>
                <c:pt idx="0">
                  <c:v>0.15524639570000001</c:v>
                </c:pt>
                <c:pt idx="1">
                  <c:v>0.11640699695624999</c:v>
                </c:pt>
                <c:pt idx="2">
                  <c:v>7.7586131424999996E-2</c:v>
                </c:pt>
                <c:pt idx="3">
                  <c:v>3.8783799106250003E-2</c:v>
                </c:pt>
                <c:pt idx="4">
                  <c:v>1.9389582901562501E-2</c:v>
                </c:pt>
                <c:pt idx="5">
                  <c:v>0</c:v>
                </c:pt>
                <c:pt idx="6">
                  <c:v>-1.9384949598437499E-2</c:v>
                </c:pt>
                <c:pt idx="7">
                  <c:v>-3.8765265893749998E-2</c:v>
                </c:pt>
                <c:pt idx="8">
                  <c:v>-7.7511998575000005E-2</c:v>
                </c:pt>
                <c:pt idx="9">
                  <c:v>-0.11624019804375001</c:v>
                </c:pt>
                <c:pt idx="10">
                  <c:v>-0.15494986429999999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7E-D54A-8EB9-B25656EDD244}"/>
            </c:ext>
          </c:extLst>
        </c:ser>
        <c:ser>
          <c:idx val="1"/>
          <c:order val="1"/>
          <c:tx>
            <c:strRef>
              <c:f>'Duration Model'!$F$12</c:f>
              <c:strCache>
                <c:ptCount val="1"/>
                <c:pt idx="0">
                  <c:v>Corp: Dur+Conv</c:v>
                </c:pt>
              </c:strCache>
            </c:strRef>
          </c:tx>
          <c:spPr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'Duration Model'!$A$13:$A$23</c:f>
              <c:strCache>
                <c:ptCount val="11"/>
                <c:pt idx="0">
                  <c:v>-200 bps</c:v>
                </c:pt>
                <c:pt idx="1">
                  <c:v>-150 bps</c:v>
                </c:pt>
                <c:pt idx="2">
                  <c:v>-100 bps</c:v>
                </c:pt>
                <c:pt idx="3">
                  <c:v>-50 bps</c:v>
                </c:pt>
                <c:pt idx="4">
                  <c:v>-25 bps</c:v>
                </c:pt>
                <c:pt idx="5">
                  <c:v>0 bps</c:v>
                </c:pt>
                <c:pt idx="6">
                  <c:v>+25 bps</c:v>
                </c:pt>
                <c:pt idx="7">
                  <c:v>+50 bps</c:v>
                </c:pt>
                <c:pt idx="8">
                  <c:v>+100 bps</c:v>
                </c:pt>
                <c:pt idx="9">
                  <c:v>+150 bps</c:v>
                </c:pt>
                <c:pt idx="10">
                  <c:v>+200 bps</c:v>
                </c:pt>
              </c:strCache>
            </c:strRef>
          </c:cat>
          <c:val>
            <c:numRef>
              <c:f>'Duration Model'!$F$13:$F$23</c:f>
              <c:numCache>
                <c:formatCode>0.000%</c:formatCode>
                <c:ptCount val="11"/>
                <c:pt idx="0">
                  <c:v>0.13148674452799999</c:v>
                </c:pt>
                <c:pt idx="1">
                  <c:v>9.8592404246999998E-2</c:v>
                </c:pt>
                <c:pt idx="2">
                  <c:v>6.5713166732000006E-2</c:v>
                </c:pt>
                <c:pt idx="3">
                  <c:v>3.2849031983000002E-2</c:v>
                </c:pt>
                <c:pt idx="4">
                  <c:v>1.642262814575E-2</c:v>
                </c:pt>
                <c:pt idx="5">
                  <c:v>0</c:v>
                </c:pt>
                <c:pt idx="6">
                  <c:v>-1.641885245425E-2</c:v>
                </c:pt>
                <c:pt idx="7">
                  <c:v>-3.2833929216999999E-2</c:v>
                </c:pt>
                <c:pt idx="8">
                  <c:v>-6.5652755667999996E-2</c:v>
                </c:pt>
                <c:pt idx="9">
                  <c:v>-9.8456479353000004E-2</c:v>
                </c:pt>
                <c:pt idx="10">
                  <c:v>-0.13124510027200001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7E-D54A-8EB9-B25656EDD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329521"/>
        <c:axId val="75617026"/>
      </c:lineChart>
      <c:catAx>
        <c:axId val="933295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Yield Shift (bps)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617026"/>
        <c:crosses val="autoZero"/>
        <c:auto val="1"/>
        <c:lblAlgn val="ctr"/>
        <c:lblOffset val="100"/>
        <c:noMultiLvlLbl val="0"/>
      </c:catAx>
      <c:valAx>
        <c:axId val="75617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Price Change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3295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368300</xdr:colOff>
      <xdr:row>2</xdr:row>
      <xdr:rowOff>212500</xdr:rowOff>
    </xdr:from>
    <xdr:to>
      <xdr:col>17</xdr:col>
      <xdr:colOff>5940</xdr:colOff>
      <xdr:row>19</xdr:row>
      <xdr:rowOff>109580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78120</xdr:rowOff>
    </xdr:from>
    <xdr:to>
      <xdr:col>5</xdr:col>
      <xdr:colOff>150840</xdr:colOff>
      <xdr:row>48</xdr:row>
      <xdr:rowOff>185400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showGridLines="0" zoomScale="132" zoomScaleNormal="100" workbookViewId="0">
      <selection activeCell="C15" sqref="C15"/>
    </sheetView>
  </sheetViews>
  <sheetFormatPr baseColWidth="10" defaultColWidth="8.6640625" defaultRowHeight="15" x14ac:dyDescent="0.2"/>
  <cols>
    <col min="1" max="7" width="22" customWidth="1"/>
  </cols>
  <sheetData>
    <row r="1" spans="1:7" ht="30" customHeight="1" x14ac:dyDescent="0.2">
      <c r="A1" s="55" t="s">
        <v>0</v>
      </c>
      <c r="B1" s="55"/>
      <c r="C1" s="55"/>
      <c r="D1" s="55"/>
      <c r="E1" s="55"/>
      <c r="F1" s="55"/>
      <c r="G1" s="55"/>
    </row>
    <row r="2" spans="1:7" x14ac:dyDescent="0.2">
      <c r="A2" s="59"/>
      <c r="B2" s="59"/>
      <c r="C2" s="59"/>
      <c r="D2" s="59"/>
      <c r="E2" s="59"/>
      <c r="F2" s="59"/>
      <c r="G2" s="59"/>
    </row>
    <row r="3" spans="1:7" ht="15.75" customHeight="1" x14ac:dyDescent="0.2">
      <c r="A3" s="56" t="s">
        <v>1</v>
      </c>
      <c r="B3" s="56"/>
      <c r="C3" s="56"/>
      <c r="D3" s="56"/>
      <c r="E3" s="56"/>
      <c r="F3" s="56"/>
      <c r="G3" s="56"/>
    </row>
    <row r="4" spans="1:7" ht="15" customHeight="1" x14ac:dyDescent="0.2">
      <c r="A4" s="60" t="s">
        <v>218</v>
      </c>
      <c r="B4" s="60"/>
      <c r="C4" s="60"/>
      <c r="D4" s="60"/>
      <c r="E4" s="60"/>
      <c r="F4" s="60"/>
      <c r="G4" s="60"/>
    </row>
    <row r="5" spans="1:7" ht="15" customHeight="1" x14ac:dyDescent="0.2">
      <c r="A5" s="59"/>
      <c r="B5" s="52"/>
      <c r="C5" s="52"/>
      <c r="D5" s="53"/>
      <c r="E5" s="53"/>
      <c r="F5" s="53"/>
      <c r="G5" s="59"/>
    </row>
    <row r="6" spans="1:7" x14ac:dyDescent="0.2">
      <c r="A6" s="59"/>
      <c r="B6" s="59"/>
      <c r="C6" s="59"/>
      <c r="D6" s="59"/>
      <c r="E6" s="59"/>
      <c r="F6" s="59"/>
      <c r="G6" s="59"/>
    </row>
    <row r="7" spans="1:7" ht="15" customHeight="1" x14ac:dyDescent="0.2">
      <c r="A7" s="59"/>
      <c r="B7" s="54" t="s">
        <v>2</v>
      </c>
      <c r="C7" s="54"/>
      <c r="D7" s="54"/>
      <c r="E7" s="54"/>
      <c r="F7" s="54"/>
      <c r="G7" s="59"/>
    </row>
    <row r="8" spans="1:7" ht="15" customHeight="1" x14ac:dyDescent="0.2">
      <c r="A8" s="59"/>
      <c r="B8" s="1" t="s">
        <v>3</v>
      </c>
      <c r="C8" s="2" t="s">
        <v>4</v>
      </c>
      <c r="D8" s="61" t="s">
        <v>5</v>
      </c>
      <c r="E8" s="61"/>
      <c r="F8" s="61"/>
      <c r="G8" s="59"/>
    </row>
    <row r="9" spans="1:7" ht="15" customHeight="1" x14ac:dyDescent="0.2">
      <c r="A9" s="59"/>
      <c r="B9" s="1" t="s">
        <v>6</v>
      </c>
      <c r="C9" s="2" t="s">
        <v>7</v>
      </c>
      <c r="D9" s="61" t="s">
        <v>8</v>
      </c>
      <c r="E9" s="61"/>
      <c r="F9" s="61"/>
      <c r="G9" s="59"/>
    </row>
    <row r="10" spans="1:7" ht="15" customHeight="1" x14ac:dyDescent="0.2">
      <c r="A10" s="59"/>
      <c r="B10" s="1" t="s">
        <v>9</v>
      </c>
      <c r="C10" s="2" t="s">
        <v>10</v>
      </c>
      <c r="D10" s="61" t="s">
        <v>11</v>
      </c>
      <c r="E10" s="61"/>
      <c r="F10" s="61"/>
      <c r="G10" s="59"/>
    </row>
    <row r="11" spans="1:7" ht="15" customHeight="1" x14ac:dyDescent="0.2">
      <c r="A11" s="59"/>
      <c r="B11" s="1" t="s">
        <v>12</v>
      </c>
      <c r="C11" s="2" t="s">
        <v>13</v>
      </c>
      <c r="D11" s="61" t="s">
        <v>14</v>
      </c>
      <c r="E11" s="61"/>
      <c r="F11" s="61"/>
      <c r="G11" s="59"/>
    </row>
    <row r="12" spans="1:7" ht="15" customHeight="1" x14ac:dyDescent="0.2">
      <c r="A12" s="59"/>
      <c r="B12" s="1" t="s">
        <v>15</v>
      </c>
      <c r="C12" s="2" t="s">
        <v>16</v>
      </c>
      <c r="D12" s="61" t="s">
        <v>17</v>
      </c>
      <c r="E12" s="61"/>
      <c r="F12" s="61"/>
      <c r="G12" s="59"/>
    </row>
    <row r="13" spans="1:7" x14ac:dyDescent="0.2">
      <c r="A13" s="59"/>
      <c r="B13" s="59"/>
      <c r="C13" s="59"/>
      <c r="D13" s="59"/>
      <c r="E13" s="59"/>
      <c r="F13" s="59"/>
      <c r="G13" s="59"/>
    </row>
    <row r="14" spans="1:7" x14ac:dyDescent="0.2">
      <c r="A14" s="59"/>
      <c r="B14" s="59"/>
      <c r="C14" s="59"/>
      <c r="D14" s="59"/>
      <c r="E14" s="59"/>
      <c r="F14" s="59"/>
      <c r="G14" s="59"/>
    </row>
  </sheetData>
  <mergeCells count="11">
    <mergeCell ref="B5:C5"/>
    <mergeCell ref="D5:F5"/>
    <mergeCell ref="B7:F7"/>
    <mergeCell ref="A1:G1"/>
    <mergeCell ref="A3:G3"/>
    <mergeCell ref="A4:G4"/>
    <mergeCell ref="D8:F8"/>
    <mergeCell ref="D9:F9"/>
    <mergeCell ref="D10:F10"/>
    <mergeCell ref="D11:F11"/>
    <mergeCell ref="D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showGridLines="0" zoomScaleNormal="100" workbookViewId="0">
      <selection activeCell="D21" sqref="A21:D21"/>
    </sheetView>
  </sheetViews>
  <sheetFormatPr baseColWidth="10" defaultColWidth="8.6640625" defaultRowHeight="15" x14ac:dyDescent="0.2"/>
  <cols>
    <col min="1" max="1" width="28" customWidth="1"/>
    <col min="2" max="3" width="14" customWidth="1"/>
    <col min="4" max="4" width="18" customWidth="1"/>
    <col min="5" max="5" width="20" customWidth="1"/>
  </cols>
  <sheetData>
    <row r="1" spans="1:5" ht="27.75" customHeight="1" x14ac:dyDescent="0.2">
      <c r="A1" s="57" t="s">
        <v>18</v>
      </c>
      <c r="B1" s="57"/>
      <c r="C1" s="57"/>
      <c r="D1" s="57"/>
      <c r="E1" s="57"/>
    </row>
    <row r="3" spans="1:5" ht="21.75" customHeight="1" x14ac:dyDescent="0.2">
      <c r="A3" s="58" t="s">
        <v>19</v>
      </c>
      <c r="B3" s="58"/>
      <c r="C3" s="58"/>
      <c r="D3" s="58"/>
      <c r="E3" s="58"/>
    </row>
    <row r="4" spans="1:5" ht="19.5" customHeight="1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</row>
    <row r="5" spans="1:5" ht="23.25" customHeight="1" x14ac:dyDescent="0.2">
      <c r="A5" s="4" t="s">
        <v>25</v>
      </c>
      <c r="B5" s="5">
        <v>3.6700000000000003E-2</v>
      </c>
      <c r="C5" s="6">
        <v>100</v>
      </c>
      <c r="D5" s="7" t="s">
        <v>26</v>
      </c>
      <c r="E5" s="4" t="s">
        <v>27</v>
      </c>
    </row>
    <row r="6" spans="1:5" ht="15" customHeight="1" x14ac:dyDescent="0.2">
      <c r="A6" s="8" t="s">
        <v>28</v>
      </c>
      <c r="B6" s="9">
        <v>3.6900000000000002E-2</v>
      </c>
      <c r="C6" s="10">
        <v>100</v>
      </c>
      <c r="D6" s="11">
        <f>(B6-$B$5)*10000</f>
        <v>1.99999999999999</v>
      </c>
      <c r="E6" s="8" t="s">
        <v>29</v>
      </c>
    </row>
    <row r="7" spans="1:5" ht="15" customHeight="1" x14ac:dyDescent="0.2">
      <c r="A7" s="4" t="s">
        <v>30</v>
      </c>
      <c r="B7" s="5">
        <v>3.8080000000000003E-2</v>
      </c>
      <c r="C7" s="6">
        <v>100</v>
      </c>
      <c r="D7" s="12">
        <f>(B7-$B$5)*10000</f>
        <v>13.8</v>
      </c>
      <c r="E7" s="4" t="s">
        <v>31</v>
      </c>
    </row>
    <row r="8" spans="1:5" ht="15" customHeight="1" x14ac:dyDescent="0.2">
      <c r="A8" s="8" t="s">
        <v>32</v>
      </c>
      <c r="B8" s="9">
        <v>3.9410000000000001E-2</v>
      </c>
      <c r="C8" s="10">
        <v>100</v>
      </c>
      <c r="D8" s="11">
        <f>(B8-$B$5)*10000</f>
        <v>27.1</v>
      </c>
      <c r="E8" s="8" t="s">
        <v>33</v>
      </c>
    </row>
    <row r="9" spans="1:5" ht="15" customHeight="1" x14ac:dyDescent="0.2">
      <c r="A9" s="4" t="s">
        <v>34</v>
      </c>
      <c r="B9" s="5">
        <v>4.317E-2</v>
      </c>
      <c r="C9" s="6">
        <v>100</v>
      </c>
      <c r="D9" s="12">
        <f>(B9-$B$5)*10000</f>
        <v>64.7</v>
      </c>
      <c r="E9" s="4" t="s">
        <v>35</v>
      </c>
    </row>
    <row r="10" spans="1:5" ht="23.25" customHeight="1" x14ac:dyDescent="0.2">
      <c r="A10" s="8" t="s">
        <v>36</v>
      </c>
      <c r="B10" s="9">
        <v>4.9200000000000001E-2</v>
      </c>
      <c r="C10" s="10">
        <v>100</v>
      </c>
      <c r="D10" s="11">
        <f>(B10-$B$5)*10000</f>
        <v>125.0</v>
      </c>
      <c r="E10" s="8" t="s">
        <v>37</v>
      </c>
    </row>
    <row r="11" spans="1:5" ht="15" customHeight="1" x14ac:dyDescent="0.2">
      <c r="A11" s="13" t="s">
        <v>38</v>
      </c>
    </row>
    <row r="13" spans="1:5" ht="21.75" customHeight="1" x14ac:dyDescent="0.2">
      <c r="A13" s="58" t="s">
        <v>39</v>
      </c>
      <c r="B13" s="58"/>
      <c r="C13" s="58"/>
      <c r="D13" s="58"/>
      <c r="E13" s="58"/>
    </row>
    <row r="14" spans="1:5" ht="23.25" customHeight="1" x14ac:dyDescent="0.2">
      <c r="A14" s="3" t="s">
        <v>40</v>
      </c>
      <c r="B14" s="3" t="s">
        <v>41</v>
      </c>
      <c r="C14" s="3" t="s">
        <v>42</v>
      </c>
      <c r="D14" s="3" t="s">
        <v>43</v>
      </c>
      <c r="E14" s="3" t="s">
        <v>24</v>
      </c>
    </row>
    <row r="15" spans="1:5" ht="15" customHeight="1" x14ac:dyDescent="0.2">
      <c r="A15" s="4" t="s">
        <v>44</v>
      </c>
      <c r="B15" s="14">
        <v>20</v>
      </c>
      <c r="C15" s="4" t="s">
        <v>45</v>
      </c>
      <c r="D15" s="4" t="s">
        <v>46</v>
      </c>
      <c r="E15" s="4"/>
    </row>
    <row r="16" spans="1:5" ht="23.25" customHeight="1" x14ac:dyDescent="0.2">
      <c r="A16" s="15" t="s">
        <v>47</v>
      </c>
      <c r="B16" s="16">
        <v>-5</v>
      </c>
      <c r="C16" s="15" t="s">
        <v>48</v>
      </c>
      <c r="D16" s="15" t="s">
        <v>49</v>
      </c>
      <c r="E16" s="15" t="s">
        <v>50</v>
      </c>
    </row>
    <row r="17" spans="1:5" ht="15" customHeight="1" x14ac:dyDescent="0.2">
      <c r="A17" s="4" t="s">
        <v>51</v>
      </c>
      <c r="B17" s="14">
        <v>30</v>
      </c>
      <c r="C17" s="4" t="s">
        <v>52</v>
      </c>
      <c r="D17" s="4" t="s">
        <v>53</v>
      </c>
      <c r="E17" s="4"/>
    </row>
    <row r="18" spans="1:5" ht="23.25" customHeight="1" x14ac:dyDescent="0.2">
      <c r="A18" s="17" t="s">
        <v>54</v>
      </c>
      <c r="B18" s="18">
        <v>68</v>
      </c>
      <c r="C18" s="17" t="s">
        <v>55</v>
      </c>
      <c r="D18" s="17" t="s">
        <v>56</v>
      </c>
      <c r="E18" s="17" t="s">
        <v>57</v>
      </c>
    </row>
    <row r="19" spans="1:5" ht="23.25" customHeight="1" x14ac:dyDescent="0.2">
      <c r="A19" s="17" t="s">
        <v>58</v>
      </c>
      <c r="B19" s="18">
        <v>63</v>
      </c>
      <c r="C19" s="17" t="s">
        <v>55</v>
      </c>
      <c r="D19" s="17" t="s">
        <v>59</v>
      </c>
      <c r="E19" s="17" t="s">
        <v>60</v>
      </c>
    </row>
    <row r="21" spans="1:5" ht="15" customHeight="1" x14ac:dyDescent="0.2">
      <c r="A21" s="13"/>
    </row>
  </sheetData>
  <mergeCells count="3">
    <mergeCell ref="A1:E1"/>
    <mergeCell ref="A3:E3"/>
    <mergeCell ref="A13:E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showGridLines="0" zoomScale="125" zoomScaleNormal="100" workbookViewId="0">
      <selection activeCell="B31" sqref="B31"/>
    </sheetView>
  </sheetViews>
  <sheetFormatPr baseColWidth="10" defaultColWidth="8.6640625" defaultRowHeight="15" x14ac:dyDescent="0.2"/>
  <cols>
    <col min="1" max="1" width="30" customWidth="1"/>
    <col min="2" max="2" width="18" customWidth="1"/>
    <col min="3" max="3" width="22" customWidth="1"/>
    <col min="4" max="4" width="18" customWidth="1"/>
  </cols>
  <sheetData>
    <row r="1" spans="1:4" ht="27.75" customHeight="1" x14ac:dyDescent="0.2">
      <c r="A1" s="57" t="s">
        <v>61</v>
      </c>
      <c r="B1" s="57"/>
      <c r="C1" s="57"/>
      <c r="D1" s="57"/>
    </row>
    <row r="3" spans="1:4" ht="21.75" customHeight="1" x14ac:dyDescent="0.2">
      <c r="A3" s="58" t="s">
        <v>62</v>
      </c>
      <c r="B3" s="58"/>
      <c r="C3" s="58"/>
      <c r="D3" s="58"/>
    </row>
    <row r="4" spans="1:4" ht="15" customHeight="1" x14ac:dyDescent="0.2">
      <c r="A4" s="3" t="s">
        <v>63</v>
      </c>
      <c r="B4" s="3" t="s">
        <v>64</v>
      </c>
      <c r="C4" s="3" t="s">
        <v>24</v>
      </c>
      <c r="D4" s="3" t="s">
        <v>65</v>
      </c>
    </row>
    <row r="5" spans="1:4" ht="23.25" customHeight="1" x14ac:dyDescent="0.2">
      <c r="A5" s="19" t="s">
        <v>66</v>
      </c>
      <c r="B5" s="20" t="s">
        <v>67</v>
      </c>
      <c r="C5" s="4" t="s">
        <v>68</v>
      </c>
      <c r="D5" s="4" t="s">
        <v>69</v>
      </c>
    </row>
    <row r="6" spans="1:4" ht="15" customHeight="1" x14ac:dyDescent="0.2">
      <c r="A6" s="21" t="s">
        <v>70</v>
      </c>
      <c r="B6" s="22" t="s">
        <v>71</v>
      </c>
      <c r="C6" s="8" t="s">
        <v>72</v>
      </c>
      <c r="D6" s="8" t="s">
        <v>69</v>
      </c>
    </row>
    <row r="7" spans="1:4" ht="15" customHeight="1" x14ac:dyDescent="0.2">
      <c r="A7" s="19" t="s">
        <v>73</v>
      </c>
      <c r="B7" s="5">
        <v>4.1250000000000002E-2</v>
      </c>
      <c r="C7" s="4" t="s">
        <v>74</v>
      </c>
      <c r="D7" s="4" t="s">
        <v>69</v>
      </c>
    </row>
    <row r="8" spans="1:4" ht="15" customHeight="1" x14ac:dyDescent="0.2">
      <c r="A8" s="21" t="s">
        <v>75</v>
      </c>
      <c r="B8" s="22" t="s">
        <v>76</v>
      </c>
      <c r="C8" s="8" t="s">
        <v>77</v>
      </c>
      <c r="D8" s="8" t="s">
        <v>69</v>
      </c>
    </row>
    <row r="9" spans="1:4" ht="15" customHeight="1" x14ac:dyDescent="0.2">
      <c r="A9" s="19" t="s">
        <v>78</v>
      </c>
      <c r="B9" s="20" t="s">
        <v>79</v>
      </c>
      <c r="C9" s="4" t="s">
        <v>80</v>
      </c>
      <c r="D9" s="4" t="s">
        <v>69</v>
      </c>
    </row>
    <row r="10" spans="1:4" ht="23.25" customHeight="1" x14ac:dyDescent="0.2">
      <c r="A10" s="21" t="s">
        <v>81</v>
      </c>
      <c r="B10" s="9">
        <v>0.98450000000000004</v>
      </c>
      <c r="C10" s="8" t="s">
        <v>82</v>
      </c>
      <c r="D10" s="8" t="s">
        <v>83</v>
      </c>
    </row>
    <row r="11" spans="1:4" ht="23.25" customHeight="1" x14ac:dyDescent="0.2">
      <c r="A11" s="19" t="s">
        <v>84</v>
      </c>
      <c r="B11" s="5">
        <v>4.3200000000000002E-2</v>
      </c>
      <c r="C11" s="4" t="s">
        <v>85</v>
      </c>
      <c r="D11" s="4" t="s">
        <v>83</v>
      </c>
    </row>
    <row r="12" spans="1:4" ht="15" customHeight="1" x14ac:dyDescent="0.2">
      <c r="A12" s="21" t="s">
        <v>86</v>
      </c>
      <c r="B12" s="23">
        <v>6495.17</v>
      </c>
      <c r="C12" s="8" t="s">
        <v>87</v>
      </c>
      <c r="D12" s="8" t="s">
        <v>83</v>
      </c>
    </row>
    <row r="13" spans="1:4" ht="23.25" customHeight="1" x14ac:dyDescent="0.2">
      <c r="A13" s="19" t="s">
        <v>88</v>
      </c>
      <c r="B13" s="5">
        <v>4.19E-2</v>
      </c>
      <c r="C13" s="4" t="s">
        <v>89</v>
      </c>
      <c r="D13" s="4" t="s">
        <v>83</v>
      </c>
    </row>
    <row r="14" spans="1:4" ht="15" customHeight="1" x14ac:dyDescent="0.2">
      <c r="A14" s="21" t="s">
        <v>90</v>
      </c>
      <c r="B14" s="22" t="s">
        <v>91</v>
      </c>
      <c r="C14" s="8" t="s">
        <v>92</v>
      </c>
      <c r="D14" s="8" t="s">
        <v>83</v>
      </c>
    </row>
    <row r="15" spans="1:4" ht="15" customHeight="1" x14ac:dyDescent="0.2">
      <c r="A15" s="19" t="s">
        <v>93</v>
      </c>
      <c r="B15" s="24">
        <v>788</v>
      </c>
      <c r="C15" s="4" t="s">
        <v>94</v>
      </c>
      <c r="D15" s="4" t="s">
        <v>83</v>
      </c>
    </row>
    <row r="18" spans="1:4" ht="21.75" customHeight="1" x14ac:dyDescent="0.2">
      <c r="A18" s="58" t="s">
        <v>95</v>
      </c>
      <c r="B18" s="58"/>
      <c r="C18" s="58"/>
      <c r="D18" s="58"/>
    </row>
    <row r="19" spans="1:4" ht="15" customHeight="1" x14ac:dyDescent="0.2">
      <c r="A19" s="3" t="s">
        <v>96</v>
      </c>
      <c r="B19" s="3" t="s">
        <v>97</v>
      </c>
      <c r="C19" s="3" t="s">
        <v>98</v>
      </c>
      <c r="D19" s="3" t="s">
        <v>65</v>
      </c>
    </row>
    <row r="20" spans="1:4" ht="23.25" customHeight="1" x14ac:dyDescent="0.2">
      <c r="A20" s="21" t="s">
        <v>99</v>
      </c>
      <c r="B20" s="25">
        <v>7.8769999999999998</v>
      </c>
      <c r="C20" s="8" t="s">
        <v>100</v>
      </c>
      <c r="D20" s="8" t="s">
        <v>83</v>
      </c>
    </row>
    <row r="21" spans="1:4" ht="23.25" customHeight="1" x14ac:dyDescent="0.2">
      <c r="A21" s="19" t="s">
        <v>101</v>
      </c>
      <c r="B21" s="26">
        <v>7.9560000000000004</v>
      </c>
      <c r="C21" s="4" t="s">
        <v>102</v>
      </c>
      <c r="D21" s="4" t="s">
        <v>83</v>
      </c>
    </row>
    <row r="22" spans="1:4" ht="23.25" customHeight="1" x14ac:dyDescent="0.2">
      <c r="A22" s="21" t="s">
        <v>103</v>
      </c>
      <c r="B22" s="25">
        <v>0.753</v>
      </c>
      <c r="C22" s="8" t="s">
        <v>104</v>
      </c>
      <c r="D22" s="8" t="s">
        <v>83</v>
      </c>
    </row>
    <row r="23" spans="1:4" ht="23.25" customHeight="1" x14ac:dyDescent="0.2">
      <c r="A23" s="19" t="s">
        <v>105</v>
      </c>
      <c r="B23" s="24">
        <v>788</v>
      </c>
      <c r="C23" s="4" t="s">
        <v>106</v>
      </c>
      <c r="D23" s="4" t="s">
        <v>83</v>
      </c>
    </row>
    <row r="25" spans="1:4" ht="21.75" customHeight="1" x14ac:dyDescent="0.2">
      <c r="A25" s="58" t="s">
        <v>107</v>
      </c>
      <c r="B25" s="58"/>
      <c r="C25" s="58"/>
      <c r="D25" s="58"/>
    </row>
    <row r="26" spans="1:4" ht="15" customHeight="1" x14ac:dyDescent="0.2">
      <c r="A26" s="2" t="s">
        <v>99</v>
      </c>
      <c r="B26" s="27">
        <f>B20</f>
        <v>7.877</v>
      </c>
    </row>
    <row r="27" spans="1:4" ht="15" customHeight="1" x14ac:dyDescent="0.2">
      <c r="A27" s="2" t="s">
        <v>108</v>
      </c>
      <c r="B27" s="28">
        <f>B10</f>
        <v>0.9845</v>
      </c>
    </row>
    <row r="28" spans="1:4" ht="15" customHeight="1" x14ac:dyDescent="0.2">
      <c r="A28" s="2" t="inlineStr">
        <is>
          <t>Yield change (decimal: 0.01 = +100 bps) — INPUT</t>
        </is>
      </c>
      <c r="B28" s="29">
        <v>0.01</v>
      </c>
      <c r="C28" s="30" t="s">
        <v>110</v>
      </c>
      <c r="D28" s="31" t="s">
        <v>111</v>
      </c>
    </row>
    <row r="29" spans="1:4" ht="23.25" customHeight="1" x14ac:dyDescent="0.2">
      <c r="A29" s="2" t="s">
        <v>112</v>
      </c>
      <c r="B29" s="32">
        <f>-B26*B28*B27</f>
        <v>-0.077549065</v>
      </c>
    </row>
    <row r="30" spans="1:4" ht="15" customHeight="1" x14ac:dyDescent="0.2">
      <c r="A30" s="2" t="s">
        <v>113</v>
      </c>
      <c r="B30" s="32">
        <f>B27+B29</f>
        <v>0.906950935</v>
      </c>
    </row>
    <row r="31" spans="1:4" ht="15" customHeight="1" x14ac:dyDescent="0.2">
      <c r="A31" s="2" t="inlineStr">
        <is>
          <t>Convexity adjustment (Bloomberg convexity × 100)</t>
        </is>
      </c>
      <c r="B31" s="28">
        <f>0.5*B22*100*(B28^2)*B27</f>
        <v>0.0037066425</v>
      </c>
    </row>
    <row r="32" spans="1:4" ht="15" customHeight="1" x14ac:dyDescent="0.2">
      <c r="A32" s="2" t="s">
        <v>115</v>
      </c>
      <c r="B32" s="32">
        <f>B29+B31</f>
        <v>-0.0738424225</v>
      </c>
    </row>
    <row r="33" spans="1:2" ht="15" customHeight="1" x14ac:dyDescent="0.2">
      <c r="A33" s="2" t="s">
        <v>116</v>
      </c>
      <c r="B33" s="32">
        <f>B27+B32</f>
        <v>0.9106575775</v>
      </c>
    </row>
  </sheetData>
  <mergeCells count="4">
    <mergeCell ref="A1:D1"/>
    <mergeCell ref="A3:D3"/>
    <mergeCell ref="A18:D18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showGridLines="0" topLeftCell="A24" zoomScale="225" zoomScaleNormal="100" workbookViewId="0">
      <selection activeCell="A30" sqref="A30:C30"/>
    </sheetView>
  </sheetViews>
  <sheetFormatPr baseColWidth="10" defaultColWidth="8.6640625" defaultRowHeight="15" x14ac:dyDescent="0.2"/>
  <cols>
    <col min="1" max="1" width="32" customWidth="1"/>
    <col min="2" max="2" width="18" customWidth="1"/>
    <col min="3" max="3" width="22" customWidth="1"/>
    <col min="4" max="4" width="18" customWidth="1"/>
  </cols>
  <sheetData>
    <row r="1" spans="1:4" ht="27.75" customHeight="1" x14ac:dyDescent="0.2">
      <c r="A1" s="57" t="s">
        <v>117</v>
      </c>
      <c r="B1" s="57"/>
      <c r="C1" s="57"/>
      <c r="D1" s="57"/>
    </row>
    <row r="3" spans="1:4" ht="15" customHeight="1" x14ac:dyDescent="0.2">
      <c r="A3" s="58" t="s">
        <v>118</v>
      </c>
      <c r="B3" s="58"/>
      <c r="C3" s="58"/>
      <c r="D3" s="58"/>
    </row>
    <row r="4" spans="1:4" ht="15" customHeight="1" x14ac:dyDescent="0.2">
      <c r="A4" s="3" t="s">
        <v>63</v>
      </c>
      <c r="B4" s="3" t="s">
        <v>64</v>
      </c>
      <c r="C4" s="3" t="s">
        <v>24</v>
      </c>
      <c r="D4" s="3" t="s">
        <v>65</v>
      </c>
    </row>
    <row r="5" spans="1:4" ht="15" customHeight="1" x14ac:dyDescent="0.2">
      <c r="A5" s="19" t="s">
        <v>66</v>
      </c>
      <c r="B5" s="20" t="s">
        <v>119</v>
      </c>
      <c r="C5" s="4" t="s">
        <v>120</v>
      </c>
      <c r="D5" s="4" t="s">
        <v>83</v>
      </c>
    </row>
    <row r="6" spans="1:4" ht="15" customHeight="1" x14ac:dyDescent="0.2">
      <c r="A6" s="21" t="s">
        <v>70</v>
      </c>
      <c r="B6" s="22" t="s">
        <v>121</v>
      </c>
      <c r="C6" s="8" t="s">
        <v>72</v>
      </c>
      <c r="D6" s="8" t="s">
        <v>83</v>
      </c>
    </row>
    <row r="7" spans="1:4" ht="15" customHeight="1" x14ac:dyDescent="0.2">
      <c r="A7" s="19" t="s">
        <v>122</v>
      </c>
      <c r="B7" s="20" t="s">
        <v>123</v>
      </c>
      <c r="C7" s="4" t="s">
        <v>124</v>
      </c>
      <c r="D7" s="4" t="s">
        <v>125</v>
      </c>
    </row>
    <row r="8" spans="1:4" ht="15" customHeight="1" x14ac:dyDescent="0.2">
      <c r="A8" s="21" t="s">
        <v>81</v>
      </c>
      <c r="B8" s="9">
        <v>0.93806</v>
      </c>
      <c r="C8" s="8" t="s">
        <v>126</v>
      </c>
      <c r="D8" s="8" t="s">
        <v>83</v>
      </c>
    </row>
    <row r="9" spans="1:4" ht="23.25" customHeight="1" x14ac:dyDescent="0.2">
      <c r="A9" s="19" t="s">
        <v>84</v>
      </c>
      <c r="B9" s="5">
        <v>4.3520000000000003E-2</v>
      </c>
      <c r="C9" s="4" t="s">
        <v>85</v>
      </c>
      <c r="D9" s="4" t="s">
        <v>83</v>
      </c>
    </row>
    <row r="10" spans="1:4" ht="23.25" customHeight="1" x14ac:dyDescent="0.2">
      <c r="A10" s="21" t="s">
        <v>127</v>
      </c>
      <c r="B10" s="22" t="s">
        <v>67</v>
      </c>
      <c r="C10" s="8" t="s">
        <v>128</v>
      </c>
      <c r="D10" s="8" t="s">
        <v>83</v>
      </c>
    </row>
    <row r="11" spans="1:4" ht="15" customHeight="1" x14ac:dyDescent="0.2">
      <c r="A11" s="19" t="s">
        <v>129</v>
      </c>
      <c r="B11" s="5">
        <v>4.3209999999999998E-2</v>
      </c>
      <c r="C11" s="4" t="s">
        <v>130</v>
      </c>
      <c r="D11" s="4" t="s">
        <v>83</v>
      </c>
    </row>
    <row r="12" spans="1:4" ht="23.25" customHeight="1" x14ac:dyDescent="0.2">
      <c r="A12" s="21" t="s">
        <v>131</v>
      </c>
      <c r="B12" s="9">
        <v>1.01E-3</v>
      </c>
      <c r="C12" s="8" t="s">
        <v>132</v>
      </c>
      <c r="D12" s="8" t="s">
        <v>83</v>
      </c>
    </row>
    <row r="13" spans="1:4" ht="23.25" customHeight="1" x14ac:dyDescent="0.2">
      <c r="A13" s="19" t="s">
        <v>133</v>
      </c>
      <c r="B13" s="5">
        <v>6.4000000000000005E-4</v>
      </c>
      <c r="C13" s="4" t="s">
        <v>134</v>
      </c>
      <c r="D13" s="4" t="s">
        <v>83</v>
      </c>
    </row>
    <row r="14" spans="1:4" ht="23.25" customHeight="1" x14ac:dyDescent="0.2">
      <c r="A14" s="21" t="s">
        <v>135</v>
      </c>
      <c r="B14" s="9">
        <v>5.1799999999999997E-3</v>
      </c>
      <c r="C14" s="8" t="s">
        <v>136</v>
      </c>
      <c r="D14" s="8" t="s">
        <v>83</v>
      </c>
    </row>
    <row r="15" spans="1:4" ht="23.25" customHeight="1" x14ac:dyDescent="0.2">
      <c r="A15" s="19" t="s">
        <v>137</v>
      </c>
      <c r="B15" s="5">
        <v>5.7600000000000004E-3</v>
      </c>
      <c r="C15" s="4" t="s">
        <v>138</v>
      </c>
      <c r="D15" s="4" t="s">
        <v>83</v>
      </c>
    </row>
    <row r="16" spans="1:4" ht="15" customHeight="1" x14ac:dyDescent="0.2">
      <c r="A16" s="21" t="s">
        <v>99</v>
      </c>
      <c r="B16" s="63">
        <v>7.0019999999999998</v>
      </c>
      <c r="C16" s="8" t="s">
        <v>139</v>
      </c>
      <c r="D16" s="8" t="s">
        <v>83</v>
      </c>
    </row>
    <row r="17" spans="1:4" ht="23.25" customHeight="1" x14ac:dyDescent="0.2">
      <c r="A17" s="19" t="s">
        <v>101</v>
      </c>
      <c r="B17" s="62">
        <v>7.0090000000000003</v>
      </c>
      <c r="C17" s="4" t="s">
        <v>140</v>
      </c>
      <c r="D17" s="4" t="s">
        <v>83</v>
      </c>
    </row>
    <row r="18" spans="1:4" ht="15" customHeight="1" x14ac:dyDescent="0.2">
      <c r="A18" s="21" t="s">
        <v>103</v>
      </c>
      <c r="B18" s="63">
        <v>0.64400000000000002</v>
      </c>
      <c r="C18" s="8" t="s">
        <v>141</v>
      </c>
      <c r="D18" s="8" t="s">
        <v>83</v>
      </c>
    </row>
    <row r="19" spans="1:4" ht="15" customHeight="1" x14ac:dyDescent="0.2">
      <c r="A19" s="19" t="s">
        <v>93</v>
      </c>
      <c r="B19" s="33">
        <v>700</v>
      </c>
      <c r="C19" s="4" t="s">
        <v>142</v>
      </c>
      <c r="D19" s="4" t="s">
        <v>83</v>
      </c>
    </row>
    <row r="20" spans="1:4" ht="15" customHeight="1" x14ac:dyDescent="0.2">
      <c r="A20" s="21" t="s">
        <v>86</v>
      </c>
      <c r="B20" s="23">
        <v>5930.56</v>
      </c>
      <c r="C20" s="8" t="s">
        <v>143</v>
      </c>
      <c r="D20" s="8" t="s">
        <v>83</v>
      </c>
    </row>
    <row r="23" spans="1:4" ht="15" customHeight="1" x14ac:dyDescent="0.2">
      <c r="A23" s="58" t="s">
        <v>144</v>
      </c>
      <c r="B23" s="58"/>
      <c r="C23" s="58"/>
      <c r="D23" s="58"/>
    </row>
    <row r="24" spans="1:4" ht="15" customHeight="1" x14ac:dyDescent="0.2">
      <c r="A24" s="3" t="s">
        <v>145</v>
      </c>
      <c r="B24" s="3" t="s">
        <v>146</v>
      </c>
      <c r="C24" s="3" t="s">
        <v>147</v>
      </c>
      <c r="D24" s="3" t="s">
        <v>98</v>
      </c>
    </row>
    <row r="25" spans="1:4" ht="23.25" customHeight="1" x14ac:dyDescent="0.2">
      <c r="A25" s="19" t="s">
        <v>148</v>
      </c>
      <c r="B25" s="14">
        <v>10.1</v>
      </c>
      <c r="C25" s="5">
        <f>B25/10000</f>
        <v>0.00101</v>
      </c>
      <c r="D25" s="4" t="s">
        <v>149</v>
      </c>
    </row>
    <row r="26" spans="1:4" ht="34.5" customHeight="1" x14ac:dyDescent="0.2">
      <c r="A26" s="21" t="s">
        <v>133</v>
      </c>
      <c r="B26" s="34">
        <v>6.4</v>
      </c>
      <c r="C26" s="9">
        <f>B26/10000</f>
        <v>0.00064</v>
      </c>
      <c r="D26" s="8" t="s">
        <v>150</v>
      </c>
    </row>
    <row r="27" spans="1:4" ht="23.25" customHeight="1" x14ac:dyDescent="0.2">
      <c r="A27" s="19" t="s">
        <v>135</v>
      </c>
      <c r="B27" s="14">
        <v>51.8</v>
      </c>
      <c r="C27" s="5">
        <f>B27/10000</f>
        <v>0.00518</v>
      </c>
      <c r="D27" s="4" t="s">
        <v>151</v>
      </c>
    </row>
    <row r="28" spans="1:4" ht="34.5" customHeight="1" x14ac:dyDescent="0.2">
      <c r="A28" s="21" t="s">
        <v>137</v>
      </c>
      <c r="B28" s="34">
        <v>57.6</v>
      </c>
      <c r="C28" s="9">
        <f>B28/10000</f>
        <v>0.00576</v>
      </c>
      <c r="D28" s="8" t="s">
        <v>138</v>
      </c>
    </row>
    <row r="30" spans="1:4" ht="15" customHeight="1" x14ac:dyDescent="0.2">
      <c r="A30" s="13"/>
    </row>
  </sheetData>
  <mergeCells count="3">
    <mergeCell ref="A1:D1"/>
    <mergeCell ref="A3:D3"/>
    <mergeCell ref="A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1"/>
  <sheetViews>
    <sheetView showGridLines="0" zoomScaleNormal="100" workbookViewId="0">
      <selection activeCell="G34" sqref="G34"/>
    </sheetView>
  </sheetViews>
  <sheetFormatPr baseColWidth="10" defaultColWidth="8.6640625" defaultRowHeight="15" x14ac:dyDescent="0.2"/>
  <cols>
    <col min="1" max="1" width="32" customWidth="1"/>
    <col min="2" max="4" width="20" customWidth="1"/>
  </cols>
  <sheetData>
    <row r="1" spans="1:4" ht="27.75" customHeight="1" x14ac:dyDescent="0.2">
      <c r="A1" s="57" t="s">
        <v>152</v>
      </c>
      <c r="B1" s="57"/>
      <c r="C1" s="57"/>
      <c r="D1" s="57"/>
    </row>
    <row r="3" spans="1:4" ht="15" customHeight="1" x14ac:dyDescent="0.2">
      <c r="A3" s="58" t="s">
        <v>153</v>
      </c>
      <c r="B3" s="58"/>
      <c r="C3" s="58"/>
      <c r="D3" s="58"/>
    </row>
    <row r="4" spans="1:4" ht="15" customHeight="1" x14ac:dyDescent="0.2">
      <c r="A4" s="3" t="s">
        <v>154</v>
      </c>
      <c r="B4" s="3" t="s">
        <v>155</v>
      </c>
      <c r="C4" s="3" t="s">
        <v>156</v>
      </c>
      <c r="D4" s="3" t="s">
        <v>157</v>
      </c>
    </row>
    <row r="5" spans="1:4" ht="15" customHeight="1" x14ac:dyDescent="0.2">
      <c r="A5" s="19" t="s">
        <v>158</v>
      </c>
      <c r="B5" s="5">
        <v>4.3520000000000003E-2</v>
      </c>
      <c r="C5" s="35">
        <v>5.3499999999999999E-2</v>
      </c>
      <c r="D5" s="28">
        <f>C5-B5</f>
        <v>0.00998</v>
      </c>
    </row>
    <row r="6" spans="1:4" ht="15" customHeight="1" x14ac:dyDescent="0.2">
      <c r="A6" s="21" t="s">
        <v>81</v>
      </c>
      <c r="B6" s="9">
        <v>0.93806</v>
      </c>
      <c r="C6" s="35">
        <v>0.87107000000000001</v>
      </c>
      <c r="D6" s="28">
        <f>C6-B6</f>
        <v>-0.06699</v>
      </c>
    </row>
    <row r="7" spans="1:4" ht="15" customHeight="1" x14ac:dyDescent="0.2">
      <c r="A7" s="19" t="s">
        <v>99</v>
      </c>
      <c r="B7" s="62">
        <v>7.0019999999999998</v>
      </c>
      <c r="C7" s="65">
        <v>7.3239999999999998</v>
      </c>
      <c r="D7" s="64">
        <f>C7-B7</f>
        <v>0.322</v>
      </c>
    </row>
    <row r="8" spans="1:4" ht="15" customHeight="1" x14ac:dyDescent="0.2">
      <c r="A8" s="21" t="s">
        <v>103</v>
      </c>
      <c r="B8" s="63">
        <v>0.64400000000000002</v>
      </c>
      <c r="C8" s="65">
        <v>0.63100000000000001</v>
      </c>
      <c r="D8" s="64">
        <f>C8-B8</f>
        <v>-0.013</v>
      </c>
    </row>
    <row r="9" spans="1:4" ht="15" customHeight="1" x14ac:dyDescent="0.2">
      <c r="A9" s="19" t="s">
        <v>93</v>
      </c>
      <c r="B9" s="24">
        <v>700</v>
      </c>
      <c r="C9" s="36">
        <v>642</v>
      </c>
      <c r="D9" s="37">
        <f>C9-B9</f>
        <v>-58.0</v>
      </c>
    </row>
    <row r="12" spans="1:4" ht="15" customHeight="1" x14ac:dyDescent="0.2">
      <c r="A12" s="58" t="s">
        <v>159</v>
      </c>
      <c r="B12" s="58"/>
      <c r="C12" s="58"/>
      <c r="D12" s="58"/>
    </row>
    <row r="13" spans="1:4" ht="15" customHeight="1" x14ac:dyDescent="0.2">
      <c r="A13" s="19" t="s">
        <v>160</v>
      </c>
      <c r="B13" s="27">
        <f>B7</f>
        <v>7.002</v>
      </c>
      <c r="C13" s="38" t="s">
        <v>161</v>
      </c>
    </row>
    <row r="14" spans="1:4" ht="15" customHeight="1" x14ac:dyDescent="0.2">
      <c r="A14" s="19" t="s">
        <v>162</v>
      </c>
      <c r="B14" s="39">
        <v>0.01</v>
      </c>
      <c r="C14" s="40" t="s">
        <v>163</v>
      </c>
      <c r="D14" s="30" t="s">
        <v>164</v>
      </c>
    </row>
    <row r="15" spans="1:4" ht="15" customHeight="1" x14ac:dyDescent="0.2">
      <c r="A15" s="19" t="s">
        <v>165</v>
      </c>
      <c r="B15" s="28">
        <f>B6</f>
        <v>0.93806</v>
      </c>
      <c r="C15" s="38" t="s">
        <v>166</v>
      </c>
    </row>
    <row r="16" spans="1:4" ht="21.75" customHeight="1" x14ac:dyDescent="0.2">
      <c r="A16" s="19" t="s">
        <v>167</v>
      </c>
      <c r="B16" s="32">
        <f>-B13*B14*B15</f>
        <v>-0.0656829612</v>
      </c>
      <c r="C16" s="38" t="s">
        <v>168</v>
      </c>
    </row>
    <row r="17" spans="1:4" ht="21.75" customHeight="1" x14ac:dyDescent="0.2">
      <c r="A17" s="19" t="s">
        <v>169</v>
      </c>
      <c r="B17" s="32">
        <f>B15+B16</f>
        <v>0.8723770388</v>
      </c>
      <c r="C17" s="38" t="s">
        <v>170</v>
      </c>
    </row>
    <row r="19" spans="1:4" ht="15" customHeight="1" x14ac:dyDescent="0.2">
      <c r="A19" s="58" t="s">
        <v>171</v>
      </c>
      <c r="B19" s="58"/>
      <c r="C19" s="58"/>
      <c r="D19" s="58"/>
    </row>
    <row r="20" spans="1:4" ht="15" customHeight="1" x14ac:dyDescent="0.2">
      <c r="A20" s="19" t="inlineStr">
        <is>
          <t>Convexity (Bloomberg 0.644 × 100)</t>
        </is>
      </c>
      <c r="B20" s="27">
        <f>B8*100</f>
        <v>64.4</v>
      </c>
      <c r="C20" s="38" t="inlineStr">
        <is>
          <t>Bloomberg quotes convexity divided by 100</t>
        </is>
      </c>
    </row>
    <row r="21" spans="1:4" ht="21.75" customHeight="1" x14ac:dyDescent="0.2">
      <c r="A21" s="19" t="s">
        <v>173</v>
      </c>
      <c r="B21" s="28">
        <f>0.5*B20*(B14^2)*B15</f>
        <v>0.0030205532</v>
      </c>
      <c r="C21" s="38" t="s">
        <v>174</v>
      </c>
    </row>
    <row r="22" spans="1:4" ht="21.75" customHeight="1" x14ac:dyDescent="0.2">
      <c r="A22" s="19" t="s">
        <v>175</v>
      </c>
      <c r="B22" s="28">
        <f>B16+B21</f>
        <v>-0.062662408</v>
      </c>
      <c r="C22" s="38" t="s">
        <v>176</v>
      </c>
    </row>
    <row r="23" spans="1:4" ht="15" customHeight="1" x14ac:dyDescent="0.2">
      <c r="A23" s="19" t="s">
        <v>116</v>
      </c>
      <c r="B23" s="41">
        <f>B15+B22</f>
        <v>0.875397592</v>
      </c>
      <c r="C23" s="38" t="s">
        <v>177</v>
      </c>
    </row>
    <row r="26" spans="1:4" ht="15" customHeight="1" x14ac:dyDescent="0.2">
      <c r="A26" s="58" t="s">
        <v>178</v>
      </c>
      <c r="B26" s="58"/>
      <c r="C26" s="58"/>
      <c r="D26" s="58"/>
    </row>
    <row r="27" spans="1:4" ht="15" customHeight="1" x14ac:dyDescent="0.2">
      <c r="A27" s="3" t="s">
        <v>179</v>
      </c>
      <c r="B27" s="3" t="s">
        <v>180</v>
      </c>
      <c r="C27" s="3" t="s">
        <v>181</v>
      </c>
      <c r="D27" s="3" t="s">
        <v>182</v>
      </c>
    </row>
    <row r="28" spans="1:4" ht="15" customHeight="1" x14ac:dyDescent="0.2">
      <c r="A28" s="42" t="s">
        <v>183</v>
      </c>
      <c r="B28" s="43">
        <f>B16</f>
        <v>-0.0656829612</v>
      </c>
      <c r="C28" s="43">
        <f>B17</f>
        <v>0.8723770388</v>
      </c>
      <c r="D28" s="43">
        <f>B28-$B$30</f>
        <v>0.00130703879999999</v>
      </c>
    </row>
    <row r="29" spans="1:4" ht="15" customHeight="1" x14ac:dyDescent="0.2">
      <c r="A29" s="44" t="s">
        <v>184</v>
      </c>
      <c r="B29" s="45">
        <f>B22</f>
        <v>-0.062662408</v>
      </c>
      <c r="C29" s="45">
        <f>B23</f>
        <v>0.875397592</v>
      </c>
      <c r="D29" s="45">
        <f>B29-$B$30</f>
        <v>0.00432759199999999</v>
      </c>
    </row>
    <row r="30" spans="1:4" ht="15" customHeight="1" x14ac:dyDescent="0.2">
      <c r="A30" s="21" t="s">
        <v>185</v>
      </c>
      <c r="B30" s="9">
        <v>-6.6989999999999994E-2</v>
      </c>
      <c r="C30" s="9">
        <v>0.87107000000000001</v>
      </c>
      <c r="D30" s="46" t="s">
        <v>186</v>
      </c>
    </row>
    <row r="32" spans="1:4" ht="15" customHeight="1" x14ac:dyDescent="0.2">
      <c r="A32" s="13" t="s">
        <v>187</v>
      </c>
    </row>
    <row r="34" spans="1:4" ht="18" customHeight="1">
      <c r="A34" s="58" t="inlineStr">
        <is>
          <t>Independent check — reprice the bond at both yields (Excel PRICE, 30/360, settles Apr 13, 2026)</t>
        </is>
      </c>
      <c r="B34" s="58"/>
      <c r="C34" s="58"/>
      <c r="D34" s="58"/>
    </row>
    <row r="35" spans="1:4" ht="30" customHeight="1">
      <c r="A35" s="19" t="inlineStr">
        <is>
          <t>Price at starting yield (% of par)</t>
        </is>
      </c>
      <c r="B35" s="28">
        <f>PRICE(DATE(2026,4,13),DATE(2035,2,12),0.035,B5,100,2,0)/100</f>
        <v>0.938042085563434</v>
      </c>
    </row>
    <row r="36" spans="1:4" ht="30" customHeight="1">
      <c r="A36" s="19" t="inlineStr">
        <is>
          <t>Price at shocked yield (% of par)</t>
        </is>
      </c>
      <c r="B36" s="28">
        <f>PRICE(DATE(2026,4,13),DATE(2035,2,12),0.035,C5,100,2,0)/100</f>
        <v>0.87109331434002</v>
      </c>
    </row>
    <row r="37" spans="1:4" ht="30" customHeight="1">
      <c r="A37" s="19" t="inlineStr">
        <is>
          <t>Price change from repricing</t>
        </is>
      </c>
      <c r="B37" s="28">
        <f>B36-B35</f>
        <v>-0.0669487712234143</v>
      </c>
      <c r="C37" s="38" t="inlineStr">
        <is>
          <t>Same as Bloomberg (B30)</t>
        </is>
      </c>
    </row>
    <row r="38" spans="1:4" ht="30" customHeight="1">
      <c r="A38" s="19" t="inlineStr">
        <is>
          <t>Modified duration from cash flows (MDURATION)</t>
        </is>
      </c>
      <c r="B38" s="27">
        <f>MDURATION(DATE(2026,4,13),DATE(2035,2,12),0.035,B5,2,0)</f>
        <v>7.41782199072737</v>
      </c>
      <c r="C38" s="38" t="inlineStr">
        <is>
          <t>vs. 7.002 on YAS</t>
        </is>
      </c>
    </row>
    <row r="39" spans="1:4" ht="30" customHeight="1">
      <c r="A39" s="19" t="inlineStr">
        <is>
          <t>Duration + convexity estimate with cash-flow duration</t>
        </is>
      </c>
      <c r="B39" s="28">
        <f>-B38*B14*B15+B21</f>
        <v>-0.0665630677662172</v>
      </c>
      <c r="C39" s="38" t="inlineStr">
        <is>
          <t>Close to Bloomberg</t>
        </is>
      </c>
    </row>
    <row r="41" spans="1:4" ht="48" customHeight="1">
      <c r="A41" s="38" t="inlineStr">
        <is>
          <t>Repricing the bond as a plain bullet reproduces Bloomberg’s move, so the gap vs. the 7.002-based estimate comes from that duration input rather than the call feature.</t>
        </is>
      </c>
    </row>
  </sheetData>
  <mergeCells count="7">
    <mergeCell ref="A1:D1"/>
    <mergeCell ref="A3:D3"/>
    <mergeCell ref="A12:D12"/>
    <mergeCell ref="A19:D19"/>
    <mergeCell ref="A26:D26"/>
    <mergeCell ref="A34:D34"/>
    <mergeCell ref="A41:D4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showGridLines="0" tabSelected="1" topLeftCell="A67" zoomScale="135" zoomScaleNormal="100" workbookViewId="0">
      <selection activeCell="G31" sqref="G31"/>
    </sheetView>
  </sheetViews>
  <sheetFormatPr baseColWidth="10" defaultColWidth="8.6640625" defaultRowHeight="15" x14ac:dyDescent="0.2"/>
  <cols>
    <col min="1" max="1" width="28" customWidth="1"/>
    <col min="2" max="6" width="18" customWidth="1"/>
    <col min="7" max="7" width="22" customWidth="1"/>
  </cols>
  <sheetData>
    <row r="1" spans="1:7" ht="27.75" customHeight="1" x14ac:dyDescent="0.2">
      <c r="A1" s="57" t="s">
        <v>188</v>
      </c>
      <c r="B1" s="57"/>
      <c r="C1" s="57"/>
      <c r="D1" s="57"/>
      <c r="E1" s="57"/>
      <c r="F1" s="57"/>
      <c r="G1" s="57"/>
    </row>
    <row r="3" spans="1:7" ht="15" customHeight="1" x14ac:dyDescent="0.2">
      <c r="A3" s="58" t="s">
        <v>189</v>
      </c>
      <c r="B3" s="58"/>
      <c r="C3" s="58"/>
      <c r="D3" s="58"/>
      <c r="E3" s="58"/>
      <c r="F3" s="58"/>
      <c r="G3" s="58"/>
    </row>
    <row r="4" spans="1:7" ht="15" customHeight="1" x14ac:dyDescent="0.2">
      <c r="A4" s="3" t="s">
        <v>190</v>
      </c>
      <c r="B4" s="3" t="s">
        <v>7</v>
      </c>
      <c r="C4" s="3" t="s">
        <v>65</v>
      </c>
      <c r="D4" s="3" t="s">
        <v>10</v>
      </c>
      <c r="E4" s="3" t="s">
        <v>65</v>
      </c>
      <c r="F4" s="3" t="s">
        <v>191</v>
      </c>
      <c r="G4" s="3" t="s">
        <v>24</v>
      </c>
    </row>
    <row r="5" spans="1:7" ht="23.25" customHeight="1" x14ac:dyDescent="0.2">
      <c r="A5" s="19" t="s">
        <v>99</v>
      </c>
      <c r="B5" s="26">
        <v>7.8769999999999998</v>
      </c>
      <c r="C5" s="4" t="s">
        <v>83</v>
      </c>
      <c r="D5" s="26">
        <v>7.0019999999999998</v>
      </c>
      <c r="E5" s="4" t="s">
        <v>83</v>
      </c>
      <c r="F5" s="4" t="s">
        <v>192</v>
      </c>
      <c r="G5" s="4" t="s">
        <v>193</v>
      </c>
    </row>
    <row r="6" spans="1:7" ht="15" customHeight="1" x14ac:dyDescent="0.2">
      <c r="A6" s="21" t="s">
        <v>103</v>
      </c>
      <c r="B6" s="63">
        <v>0.753</v>
      </c>
      <c r="C6" s="8" t="s">
        <v>83</v>
      </c>
      <c r="D6" s="63">
        <v>0.64400000000000002</v>
      </c>
      <c r="E6" s="8" t="s">
        <v>83</v>
      </c>
      <c r="F6" s="8" t="s">
        <v>26</v>
      </c>
      <c r="G6" s="8" t="s">
        <v>141</v>
      </c>
    </row>
    <row r="7" spans="1:7" ht="15" customHeight="1" x14ac:dyDescent="0.2">
      <c r="A7" s="19" t="s">
        <v>108</v>
      </c>
      <c r="B7" s="5">
        <v>0.98450000000000004</v>
      </c>
      <c r="C7" s="4" t="s">
        <v>83</v>
      </c>
      <c r="D7" s="5">
        <v>0.93806</v>
      </c>
      <c r="E7" s="4" t="s">
        <v>83</v>
      </c>
      <c r="F7" s="4" t="s">
        <v>194</v>
      </c>
      <c r="G7" s="4" t="s">
        <v>195</v>
      </c>
    </row>
    <row r="8" spans="1:7" ht="15" customHeight="1" x14ac:dyDescent="0.2">
      <c r="A8" s="21" t="s">
        <v>196</v>
      </c>
      <c r="B8" s="9">
        <v>4.3200000000000002E-2</v>
      </c>
      <c r="C8" s="8" t="s">
        <v>83</v>
      </c>
      <c r="D8" s="9">
        <v>4.3520000000000003E-2</v>
      </c>
      <c r="E8" s="8" t="s">
        <v>83</v>
      </c>
      <c r="F8" s="8" t="s">
        <v>197</v>
      </c>
      <c r="G8" s="8" t="s">
        <v>198</v>
      </c>
    </row>
    <row r="9" spans="1:7" ht="15" customHeight="1">
      <c r="A9" s="21" t="inlineStr">
        <is>
          <t>Convexity × 100 (used in formulas)</t>
        </is>
      </c>
      <c r="B9" s="63">
        <f>B6*100</f>
        <v>75.3</v>
      </c>
      <c r="C9" s="8" t="inlineStr">
        <is>
          <t>Bloomberg quotes ÷ 100</t>
        </is>
      </c>
      <c r="D9" s="63">
        <f>D6*100</f>
        <v>64.4</v>
      </c>
      <c r="E9" s="8" t="inlineStr">
        <is>
          <t>Bloomberg quotes ÷ 100</t>
        </is>
      </c>
      <c r="F9" s="8" t="inlineStr">
        <is>
          <t>—</t>
        </is>
      </c>
      <c r="G9" s="8" t="inlineStr">
        <is>
          <t>Scaled for the price formula</t>
        </is>
      </c>
    </row>
    <row r="11" spans="1:7" ht="15" customHeight="1" x14ac:dyDescent="0.2">
      <c r="A11" s="58" t="s">
        <v>199</v>
      </c>
      <c r="B11" s="58"/>
      <c r="C11" s="58"/>
      <c r="D11" s="58"/>
      <c r="E11" s="58"/>
      <c r="F11" s="58"/>
      <c r="G11" s="58"/>
    </row>
    <row r="12" spans="1:7" ht="15" customHeight="1" x14ac:dyDescent="0.2">
      <c r="A12" s="3" t="s">
        <v>200</v>
      </c>
      <c r="B12" s="3" t="s">
        <v>201</v>
      </c>
      <c r="C12" s="3" t="s">
        <v>202</v>
      </c>
      <c r="D12" s="3" t="s">
        <v>203</v>
      </c>
      <c r="E12" s="3" t="s">
        <v>204</v>
      </c>
      <c r="F12" s="3" t="s">
        <v>205</v>
      </c>
      <c r="G12" s="3" t="s">
        <v>206</v>
      </c>
    </row>
    <row r="13" spans="1:7" ht="15" customHeight="1" x14ac:dyDescent="0.2">
      <c r="A13" s="47" t="s">
        <v>207</v>
      </c>
      <c r="B13" s="45">
        <f>-$B$5*-0.02*$B$7</f>
        <v>0.15509813</v>
      </c>
      <c r="C13" s="45">
        <f>-$B$5*-0.02*$B$7+0.5*$B$9*(-0.02^2)*$B$7</f>
        <v>0.1699247</v>
      </c>
      <c r="D13" s="45">
        <f t="shared" ref="D13:D23" si="0">$B$7+C13</f>
        <v>1.1544247</v>
      </c>
      <c r="E13" s="45">
        <f>-$D$5*-0.02*$D$7</f>
        <v>0.1313659224</v>
      </c>
      <c r="F13" s="45">
        <f>-$D$5*-0.02*$D$7+0.5*$D$9*(-0.02^2)*$D$7</f>
        <v>0.1434481352</v>
      </c>
      <c r="G13" s="45">
        <f t="shared" ref="G13:G23" si="1">$D$7+F13</f>
        <v>1.0815081352</v>
      </c>
    </row>
    <row r="14" spans="1:7" ht="15" customHeight="1" x14ac:dyDescent="0.2">
      <c r="A14" s="47" t="s">
        <v>208</v>
      </c>
      <c r="B14" s="45">
        <f>-$B$5*-0.015*$B$7</f>
        <v>0.1163235975</v>
      </c>
      <c r="C14" s="45">
        <f>-$B$5*-0.015*$B$7+0.5*$B$9*(-0.015^2)*$B$7</f>
        <v>0.124663543125</v>
      </c>
      <c r="D14" s="45">
        <f t="shared" si="0"/>
        <v>1.109163543125</v>
      </c>
      <c r="E14" s="45">
        <f>-$D$5*-0.015*$D$7</f>
        <v>0.0985244418</v>
      </c>
      <c r="F14" s="45">
        <f>-$D$5*-0.015*$D$7+0.5*$D$9*(-0.015^2)*$D$7</f>
        <v>0.1053206865</v>
      </c>
      <c r="G14" s="45">
        <f t="shared" si="1"/>
        <v>1.0433806865</v>
      </c>
    </row>
    <row r="15" spans="1:7" ht="15" customHeight="1" x14ac:dyDescent="0.2">
      <c r="A15" s="47" t="s">
        <v>209</v>
      </c>
      <c r="B15" s="45">
        <f>-$B$5*-0.01*$B$7</f>
        <v>0.077549065</v>
      </c>
      <c r="C15" s="45">
        <f>-$B$5*-0.01*$B$7+0.5*$B$9*(-0.01^2)*$B$7</f>
        <v>0.0812557075</v>
      </c>
      <c r="D15" s="45">
        <f t="shared" si="0"/>
        <v>1.0657557075</v>
      </c>
      <c r="E15" s="45">
        <f>-$D$5*-0.01*$D$7</f>
        <v>0.0656829612</v>
      </c>
      <c r="F15" s="45">
        <f>-$D$5*-0.01*$D$7+0.5*$D$9*(-0.01^2)*$D$7</f>
        <v>0.0687035144</v>
      </c>
      <c r="G15" s="45">
        <f t="shared" si="1"/>
        <v>1.0067635144</v>
      </c>
    </row>
    <row r="16" spans="1:7" ht="15" customHeight="1" x14ac:dyDescent="0.2">
      <c r="A16" s="47" t="s">
        <v>210</v>
      </c>
      <c r="B16" s="45">
        <f>-$B$5*-0.005*$B$7</f>
        <v>0.0387745325</v>
      </c>
      <c r="C16" s="45">
        <f>-$B$5*-0.005*$B$7+0.5*$B$9*(-0.005^2)*$B$7</f>
        <v>0.039701193125</v>
      </c>
      <c r="D16" s="45">
        <f t="shared" si="0"/>
        <v>1.024201193125</v>
      </c>
      <c r="E16" s="45">
        <f>-$D$5*-0.005*$D$7</f>
        <v>0.0328414806</v>
      </c>
      <c r="F16" s="45">
        <f>-$D$5*-0.005*$D$7+0.5*$D$9*(-0.005^2)*$D$7</f>
        <v>0.0335966189</v>
      </c>
      <c r="G16" s="45">
        <f t="shared" si="1"/>
        <v>0.9716566189</v>
      </c>
    </row>
    <row r="17" spans="1:7" ht="15" customHeight="1" x14ac:dyDescent="0.2">
      <c r="A17" s="47" t="s">
        <v>211</v>
      </c>
      <c r="B17" s="45">
        <f>-$B$5*-0.0025*$B$7</f>
        <v>0.01938726625</v>
      </c>
      <c r="C17" s="45">
        <f>-$B$5*-0.0025*$B$7+0.5*$B$9*(-0.0025^2)*$B$7</f>
        <v>0.01961893140625</v>
      </c>
      <c r="D17" s="45">
        <f t="shared" si="0"/>
        <v>1.00411893140625</v>
      </c>
      <c r="E17" s="45">
        <f>-$D$5*-0.0025*$D$7</f>
        <v>0.0164207403</v>
      </c>
      <c r="F17" s="45">
        <f>-$D$5*-0.0025*$D$7+0.5*$D$9*(-0.0025^2)*$D$7</f>
        <v>0.016609524875</v>
      </c>
      <c r="G17" s="45">
        <f t="shared" si="1"/>
        <v>0.954669524875</v>
      </c>
    </row>
    <row r="18" spans="1:7" ht="15" customHeight="1" x14ac:dyDescent="0.2">
      <c r="A18" s="48" t="s">
        <v>212</v>
      </c>
      <c r="B18" s="49">
        <f>-$B$5*0*$B$7</f>
        <v>0.0</v>
      </c>
      <c r="C18" s="49">
        <f>-$B$5*0*$B$7+0.5*$B$9*(0^2)*$B$7</f>
        <v>0.0</v>
      </c>
      <c r="D18" s="49">
        <f t="shared" si="0"/>
        <v>0.9845</v>
      </c>
      <c r="E18" s="49">
        <f>-$D$5*0*$D$7</f>
        <v>0.0</v>
      </c>
      <c r="F18" s="49">
        <f>-$D$5*0*$D$7+0.5*$D$9*(0^2)*$D$7</f>
        <v>0.0</v>
      </c>
      <c r="G18" s="49">
        <f t="shared" si="1"/>
        <v>0.93806</v>
      </c>
    </row>
    <row r="19" spans="1:7" ht="15" customHeight="1" x14ac:dyDescent="0.2">
      <c r="A19" s="50" t="s">
        <v>213</v>
      </c>
      <c r="B19" s="43">
        <f>-$B$5*0.0025*$B$7</f>
        <v>-0.01938726625</v>
      </c>
      <c r="C19" s="43">
        <f>-$B$5*0.0025*$B$7+0.5*$B$9*(0.0025^2)*$B$7</f>
        <v>-0.01915560109375</v>
      </c>
      <c r="D19" s="43">
        <f t="shared" si="0"/>
        <v>0.96534439890625</v>
      </c>
      <c r="E19" s="43">
        <f>-$D$5*0.0025*$D$7</f>
        <v>-0.0164207403</v>
      </c>
      <c r="F19" s="43">
        <f>-$D$5*0.0025*$D$7+0.5*$D$9*(0.0025^2)*$D$7</f>
        <v>-0.016231955725</v>
      </c>
      <c r="G19" s="43">
        <f t="shared" si="1"/>
        <v>0.921828044275</v>
      </c>
    </row>
    <row r="20" spans="1:7" ht="15" customHeight="1" x14ac:dyDescent="0.2">
      <c r="A20" s="50" t="s">
        <v>214</v>
      </c>
      <c r="B20" s="43">
        <f>-$B$5*0.005*$B$7</f>
        <v>-0.0387745325</v>
      </c>
      <c r="C20" s="43">
        <f>-$B$5*0.005*$B$7+0.5*$B$9*(0.005^2)*$B$7</f>
        <v>-0.037847871875</v>
      </c>
      <c r="D20" s="43">
        <f t="shared" si="0"/>
        <v>0.946652128125</v>
      </c>
      <c r="E20" s="43">
        <f>-$D$5*0.005*$D$7</f>
        <v>-0.0328414806</v>
      </c>
      <c r="F20" s="43">
        <f>-$D$5*0.005*$D$7+0.5*$D$9*(0.005^2)*$D$7</f>
        <v>-0.0320863423</v>
      </c>
      <c r="G20" s="43">
        <f t="shared" si="1"/>
        <v>0.9059736577</v>
      </c>
    </row>
    <row r="21" spans="1:7" ht="15" customHeight="1" x14ac:dyDescent="0.2">
      <c r="A21" s="50" t="s">
        <v>215</v>
      </c>
      <c r="B21" s="43">
        <f>-$B$5*0.01*$B$7</f>
        <v>-0.077549065</v>
      </c>
      <c r="C21" s="43">
        <f>-$B$5*0.01*$B$7+0.5*$B$9*(0.01^2)*$B$7</f>
        <v>-0.0738424225</v>
      </c>
      <c r="D21" s="51">
        <f t="shared" si="0"/>
        <v>0.9106575775</v>
      </c>
      <c r="E21" s="43">
        <f>-$D$5*0.01*$D$7</f>
        <v>-0.0656829612</v>
      </c>
      <c r="F21" s="43">
        <f>-$D$5*0.01*$D$7+0.5*$D$9*(0.01^2)*$D$7</f>
        <v>-0.062662408</v>
      </c>
      <c r="G21" s="51">
        <f t="shared" si="1"/>
        <v>0.875397592</v>
      </c>
    </row>
    <row r="22" spans="1:7" ht="15" customHeight="1" x14ac:dyDescent="0.2">
      <c r="A22" s="50" t="s">
        <v>216</v>
      </c>
      <c r="B22" s="43">
        <f>-$B$5*0.015*$B$7</f>
        <v>-0.1163235975</v>
      </c>
      <c r="C22" s="43">
        <f>-$B$5*0.015*$B$7+0.5*$B$9*(0.015^2)*$B$7</f>
        <v>-0.107983651875</v>
      </c>
      <c r="D22" s="43">
        <f t="shared" si="0"/>
        <v>0.876516348125</v>
      </c>
      <c r="E22" s="43">
        <f>-$D$5*0.015*$D$7</f>
        <v>-0.0985244418</v>
      </c>
      <c r="F22" s="43">
        <f>-$D$5*0.015*$D$7+0.5*$D$9*(0.015^2)*$D$7</f>
        <v>-0.0917281971</v>
      </c>
      <c r="G22" s="43">
        <f t="shared" si="1"/>
        <v>0.8463318029</v>
      </c>
    </row>
    <row r="23" spans="1:7" ht="15" customHeight="1" x14ac:dyDescent="0.2">
      <c r="A23" s="50" t="s">
        <v>217</v>
      </c>
      <c r="B23" s="43">
        <f>-$B$5*0.02*$B$7</f>
        <v>-0.15509813</v>
      </c>
      <c r="C23" s="43">
        <f>-$B$5*0.02*$B$7+0.5*$B$9*(0.02^2)*$B$7</f>
        <v>-0.14027156</v>
      </c>
      <c r="D23" s="43">
        <f t="shared" si="0"/>
        <v>0.84422844</v>
      </c>
      <c r="E23" s="43">
        <f>-$D$5*0.02*$D$7</f>
        <v>-0.1313659224</v>
      </c>
      <c r="F23" s="43">
        <f>-$D$5*0.02*$D$7+0.5*$D$9*(0.02^2)*$D$7</f>
        <v>-0.1192837096</v>
      </c>
      <c r="G23" s="43">
        <f t="shared" si="1"/>
        <v>0.8187762904</v>
      </c>
    </row>
  </sheetData>
  <mergeCells count="3">
    <mergeCell ref="A1:G1"/>
    <mergeCell ref="A3:G3"/>
    <mergeCell ref="A11:G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Yield Curve</vt:lpstr>
      <vt:lpstr>Treasury Bond</vt:lpstr>
      <vt:lpstr>Corporate Bond</vt:lpstr>
      <vt:lpstr>Rate Shock</vt:lpstr>
      <vt:lpstr>Duration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Taruni Komma</cp:lastModifiedBy>
  <cp:revision>2</cp:revision>
  <dcterms:created xsi:type="dcterms:W3CDTF">2026-04-10T17:48:17Z</dcterms:created>
  <dcterms:modified xsi:type="dcterms:W3CDTF">2026-05-09T01:26:45Z</dcterms:modified>
  <dc:language>en-US</dc:language>
</cp:coreProperties>
</file>