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/>
  <mc:AlternateContent xmlns:mc="http://schemas.openxmlformats.org/markup-compatibility/2006">
    <mc:Choice Requires="x15">
      <x15ac:absPath xmlns:x15ac="http://schemas.microsoft.com/office/spreadsheetml/2010/11/ac" url="/Users/kommataruni/Downloads/"/>
    </mc:Choice>
  </mc:AlternateContent>
  <xr:revisionPtr revIDLastSave="0" documentId="8_{5E0659E9-3395-3645-9A1A-BC185DAD4886}" xr6:coauthVersionLast="47" xr6:coauthVersionMax="47" xr10:uidLastSave="{00000000-0000-0000-0000-000000000000}"/>
  <bookViews>
    <workbookView xWindow="0" yWindow="660" windowWidth="29400" windowHeight="18460" tabRatio="500" activeTab="3" xr2:uid="{00000000-000D-0000-FFFF-FFFF00000000}"/>
  </bookViews>
  <sheets>
    <sheet name="YIELD TO MATURITY" sheetId="1" r:id="rId1"/>
    <sheet name="YIELD TO CALL" sheetId="2" r:id="rId2"/>
    <sheet name="CALL SCHEDULE" sheetId="3" r:id="rId3"/>
    <sheet name="PRICE YIELD CURVE" sheetId="4" r:id="rId4"/>
  </sheets>
  <calcPr calcId="191029" iterateDelta="1E-4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<sst xmlns="http://schemas.openxmlformats.org/spreadsheetml/2006/main" count="118" uniqueCount="70">
  <si>
    <t>YIELD TO MATURITY</t>
  </si>
  <si>
    <t>Bond Particulars</t>
  </si>
  <si>
    <t>Market Data</t>
  </si>
  <si>
    <t>Price Calculations</t>
  </si>
  <si>
    <t>Date Calculations</t>
  </si>
  <si>
    <t>Duration Output</t>
  </si>
  <si>
    <t>Symbol:</t>
  </si>
  <si>
    <t>AAPL4211189</t>
  </si>
  <si>
    <t>Price Date:</t>
  </si>
  <si>
    <t>Principal:</t>
  </si>
  <si>
    <t>Days to Accrue:</t>
  </si>
  <si>
    <t>CUSIP:</t>
  </si>
  <si>
    <t>037833EV8</t>
  </si>
  <si>
    <t>Settlement:</t>
  </si>
  <si>
    <t>Base price:</t>
  </si>
  <si>
    <t>Days to Next Coupon:</t>
  </si>
  <si>
    <t>Macaulay duration (years, calculated):</t>
  </si>
  <si>
    <t>Issuer:</t>
  </si>
  <si>
    <t>APPLE INC.</t>
  </si>
  <si>
    <t>Price:</t>
  </si>
  <si>
    <t>Accrued interest:</t>
  </si>
  <si>
    <t>Coupon:</t>
  </si>
  <si>
    <t>Macaulay duration (Excel DURATION):</t>
  </si>
  <si>
    <t>Invoice Price:</t>
  </si>
  <si>
    <t>Date of Next Coupon:</t>
  </si>
  <si>
    <t>Modified duration (Excel MDURATION):</t>
  </si>
  <si>
    <t>Maturity:</t>
  </si>
  <si>
    <t>Coupons Remaining:</t>
  </si>
  <si>
    <t>Convexity (years², calculated):</t>
  </si>
  <si>
    <t>Yield to Maturity</t>
  </si>
  <si>
    <t>#</t>
  </si>
  <si>
    <t>Date</t>
  </si>
  <si>
    <t>Time (t)</t>
  </si>
  <si>
    <t>Coupon</t>
  </si>
  <si>
    <t>NPV</t>
  </si>
  <si>
    <t>NPV/Price</t>
  </si>
  <si>
    <t>Duration</t>
  </si>
  <si>
    <t>Convexity</t>
  </si>
  <si>
    <t>Total Payments</t>
  </si>
  <si>
    <t>YIELD TO CALL</t>
  </si>
  <si>
    <t>Call Schedule</t>
  </si>
  <si>
    <t>Call Date</t>
  </si>
  <si>
    <t>Call Price</t>
  </si>
  <si>
    <t>YTC / YTW</t>
  </si>
  <si>
    <t>Before 02/10/2033</t>
  </si>
  <si>
    <t>T+12.5bps (premium)</t>
  </si>
  <si>
    <t>Make-Whole — N/A</t>
  </si>
  <si>
    <t>Note: YTC = YTW = 4.2452% (Bloomberg YAS, 04/03/2026). Make-Whole call before 02/10/2033 requires premium above par. Par call on 02/10/2033 is the effective call date.</t>
  </si>
  <si>
    <t>Yield to Call (YTC = YTW)</t>
  </si>
  <si>
    <t>First Call Date:</t>
  </si>
  <si>
    <t>Cash Flows to Call Date (02/10/2033)</t>
  </si>
  <si>
    <t>Cash Flow</t>
  </si>
  <si>
    <t>CALL SCHEDULE</t>
  </si>
  <si>
    <t>Price Date: (NASD)</t>
  </si>
  <si>
    <t>Call</t>
  </si>
  <si>
    <t>YTC</t>
  </si>
  <si>
    <t>Yield to Worst</t>
  </si>
  <si>
    <t>Chart Data</t>
  </si>
  <si>
    <t>February 10, 2033</t>
  </si>
  <si>
    <t>March 10, 2033</t>
  </si>
  <si>
    <t>April 10, 2033</t>
  </si>
  <si>
    <t>May 10, 2033</t>
  </si>
  <si>
    <t>PRICE YIELD CURVE</t>
  </si>
  <si>
    <t>Yield</t>
  </si>
  <si>
    <t>Price</t>
  </si>
  <si>
    <t>YTM:</t>
  </si>
  <si>
    <t>Modified duration (Bloomberg YAS):</t>
  </si>
  <si>
    <t>Convexity (Bloomberg YAS):</t>
  </si>
  <si>
    <t>Duration Only</t>
  </si>
  <si>
    <t>Duration and
convexity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</si>
</sst>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mm/dd/yyyy"/>
    <numFmt numFmtId="165" formatCode="\$#,##0.00"/>
    <numFmt numFmtId="166" formatCode="0.00000&quot; yrs&quot;"/>
    <numFmt numFmtId="167" formatCode="0.0000"/>
    <numFmt numFmtId="168" formatCode="0.0000%"/>
    <numFmt numFmtId="169" formatCode="0.00000"/>
    <numFmt numFmtId="170" formatCode="0.0000000"/>
    <numFmt numFmtId="171" formatCode="0.00000%"/>
    <numFmt numFmtId="172" formatCode="0.000"/>
    <numFmt numFmtId="173" formatCode="0.000000000&quot; years&quot;"/>
    <numFmt numFmtId="174" formatCode="0.000000"/>
  </numFmts>
  <fonts count="15" x14ac:knownFonts="1">
    <font>
      <sz val="11"/>
      <color theme="1"/>
      <name val="Calibri"/>
      <family val="2"/>
      <charset val="1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b/>
      <sz val="10"/>
      <color rgb="FF000000"/>
      <name val="Arial"/>
      <family val="2"/>
    </font>
    <font>
      <sz val="10"/>
      <color rgb="FF0000FF"/>
      <name val="Arial"/>
      <family val="2"/>
    </font>
    <font>
      <sz val="10"/>
      <color rgb="FF000000"/>
      <name val="Arial"/>
      <family val="2"/>
    </font>
    <font>
      <b/>
      <sz val="10"/>
      <name val="Arial"/>
      <family val="2"/>
    </font>
    <font>
      <i/>
      <sz val="9"/>
      <color rgb="FF888888"/>
      <name val="Arial"/>
      <family val="2"/>
    </font>
    <font>
      <i/>
      <sz val="9"/>
      <color rgb="FF404040"/>
      <name val="Arial"/>
      <family val="2"/>
    </font>
    <font>
      <sz val="10"/>
      <color rgb="FF006400"/>
      <name val="Arial"/>
      <family val="2"/>
    </font>
    <font>
      <sz val="10"/>
      <color rgb="FFFF8C00"/>
      <name val="Arial"/>
      <family val="2"/>
    </font>
    <font>
      <b/>
      <sz val="10"/>
      <color rgb="FFFF0000"/>
      <name val="Arial"/>
      <family val="2"/>
    </font>
    <font>
      <b/>
      <sz val="11"/>
      <color rgb="FFFFFFFF"/>
      <name val="Arial"/>
      <family val="2"/>
    </font>
    <font>
      <b/>
      <sz val="10"/>
      <color rgb="FF8B0000"/>
      <name val="Arial"/>
      <family val="2"/>
    </font>
    <font>
      <sz val="11"/>
      <color theme="0"/>
      <name val="Calibri"/>
      <family val="2"/>
      <charset val="1"/>
    </font>
  </fonts>
  <fills count="15">
    <fill>
      <patternFill patternType="none"/>
    </fill>
    <fill>
      <patternFill patternType="gray125"/>
    </fill>
    <fill>
      <patternFill patternType="solid">
        <fgColor rgb="FF1F3864"/>
        <bgColor rgb="FF404040"/>
      </patternFill>
    </fill>
    <fill>
      <patternFill patternType="solid">
        <fgColor rgb="FFFFFF00"/>
        <bgColor rgb="FFFFFF00"/>
      </patternFill>
    </fill>
    <fill>
      <patternFill patternType="solid">
        <fgColor rgb="FFD9E1F2"/>
        <bgColor rgb="FFDCE6F1"/>
      </patternFill>
    </fill>
    <fill>
      <patternFill patternType="solid">
        <fgColor rgb="FF375623"/>
        <bgColor rgb="FF404040"/>
      </patternFill>
    </fill>
    <fill>
      <patternFill patternType="solid">
        <fgColor rgb="FFE2EFDA"/>
        <bgColor rgb="FFDCE6F1"/>
      </patternFill>
    </fill>
    <fill>
      <patternFill patternType="solid">
        <fgColor rgb="FF2F5496"/>
        <bgColor rgb="FF1F3864"/>
      </patternFill>
    </fill>
    <fill>
      <patternFill patternType="solid">
        <fgColor rgb="FFFFFFFF"/>
        <bgColor rgb="FFF2F2F2"/>
      </patternFill>
    </fill>
    <fill>
      <patternFill patternType="solid">
        <fgColor rgb="FFDCE6F1"/>
        <bgColor rgb="FFD9E1F2"/>
      </patternFill>
    </fill>
    <fill>
      <patternFill patternType="solid">
        <fgColor rgb="FFFFF2CC"/>
        <bgColor rgb="FFF2F2F2"/>
      </patternFill>
    </fill>
    <fill>
      <patternFill patternType="solid">
        <fgColor rgb="FF8B0000"/>
        <bgColor rgb="FF800000"/>
      </patternFill>
    </fill>
    <fill>
      <patternFill patternType="solid">
        <fgColor rgb="FFFFD700"/>
        <bgColor rgb="FFFFFF00"/>
      </patternFill>
    </fill>
    <fill>
      <patternFill patternType="solid">
        <fgColor rgb="FFF2F2F2"/>
        <bgColor rgb="FFE2EFDA"/>
      </patternFill>
    </fill>
    <fill>
      <patternFill patternType="solid">
        <fgColor theme="0"/>
        <bgColor rgb="FF800000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74">
    <xf numFmtId="0" fontId="0" fillId="0" borderId="0" xfId="0"/>
    <xf numFmtId="0" fontId="12" fillId="11" borderId="0" xfId="0" applyFont="1" applyFill="1" applyAlignment="1">
      <alignment horizontal="left" vertical="center"/>
    </xf>
    <xf numFmtId="0" fontId="2" fillId="7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0" fontId="8" fillId="10" borderId="0" xfId="0" applyFont="1" applyFill="1" applyAlignment="1">
      <alignment vertical="top" wrapText="1"/>
    </xf>
    <xf numFmtId="0" fontId="3" fillId="4" borderId="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3" fillId="0" borderId="0" xfId="0" applyFont="1" applyAlignment="1">
      <alignment horizontal="left" vertical="center"/>
    </xf>
    <xf numFmtId="49" fontId="4" fillId="0" borderId="0" xfId="0" applyNumberFormat="1" applyFont="1" applyAlignment="1">
      <alignment horizontal="left" vertical="center"/>
    </xf>
    <xf numFmtId="164" fontId="4" fillId="0" borderId="0" xfId="0" applyNumberFormat="1" applyFont="1" applyAlignment="1">
      <alignment horizontal="left" vertical="center"/>
    </xf>
    <xf numFmtId="165" fontId="4" fillId="3" borderId="0" xfId="0" applyNumberFormat="1" applyFont="1" applyFill="1"/>
    <xf numFmtId="1" fontId="4" fillId="0" borderId="0" xfId="0" applyNumberFormat="1" applyFont="1" applyAlignment="1">
      <alignment horizontal="left" vertical="center"/>
    </xf>
    <xf numFmtId="165" fontId="5" fillId="0" borderId="0" xfId="0" applyNumberFormat="1" applyFont="1"/>
    <xf numFmtId="1" fontId="5" fillId="0" borderId="0" xfId="0" applyNumberFormat="1" applyFont="1" applyAlignment="1">
      <alignment horizontal="left" vertical="center"/>
    </xf>
    <xf numFmtId="166" fontId="5" fillId="0" borderId="0" xfId="0" applyNumberFormat="1" applyFont="1"/>
    <xf numFmtId="167" fontId="4" fillId="3" borderId="0" xfId="0" applyNumberFormat="1" applyFont="1" applyFill="1" applyAlignment="1">
      <alignment horizontal="left" vertical="center"/>
    </xf>
    <xf numFmtId="165" fontId="5" fillId="0" borderId="0" xfId="0" applyNumberFormat="1" applyFont="1" applyAlignment="1">
      <alignment horizontal="left" vertical="center"/>
    </xf>
    <xf numFmtId="168" fontId="4" fillId="0" borderId="0" xfId="0" applyNumberFormat="1" applyFont="1" applyAlignment="1">
      <alignment horizontal="left" vertical="center"/>
    </xf>
    <xf numFmtId="165" fontId="5" fillId="4" borderId="0" xfId="0" applyNumberFormat="1" applyFont="1" applyFill="1"/>
    <xf numFmtId="169" fontId="5" fillId="0" borderId="0" xfId="0" applyNumberFormat="1" applyFont="1"/>
    <xf numFmtId="168" fontId="6" fillId="6" borderId="0" xfId="0" applyNumberFormat="1" applyFont="1" applyFill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/>
    </xf>
    <xf numFmtId="164" fontId="5" fillId="8" borderId="1" xfId="0" applyNumberFormat="1" applyFont="1" applyFill="1" applyBorder="1" applyAlignment="1">
      <alignment horizontal="center" vertical="center"/>
    </xf>
    <xf numFmtId="167" fontId="5" fillId="8" borderId="1" xfId="0" applyNumberFormat="1" applyFont="1" applyFill="1" applyBorder="1" applyAlignment="1">
      <alignment horizontal="center" vertical="center"/>
    </xf>
    <xf numFmtId="165" fontId="5" fillId="8" borderId="1" xfId="0" applyNumberFormat="1" applyFont="1" applyFill="1" applyBorder="1" applyAlignment="1">
      <alignment horizontal="right" vertical="center"/>
    </xf>
    <xf numFmtId="170" fontId="5" fillId="8" borderId="1" xfId="0" applyNumberFormat="1" applyFont="1" applyFill="1" applyBorder="1" applyAlignment="1">
      <alignment horizontal="right" vertical="center"/>
    </xf>
    <xf numFmtId="167" fontId="5" fillId="8" borderId="1" xfId="0" applyNumberFormat="1" applyFont="1" applyFill="1" applyBorder="1" applyAlignment="1">
      <alignment horizontal="right" vertical="center"/>
    </xf>
    <xf numFmtId="0" fontId="5" fillId="9" borderId="1" xfId="0" applyFont="1" applyFill="1" applyBorder="1" applyAlignment="1">
      <alignment horizontal="center" vertical="center"/>
    </xf>
    <xf numFmtId="164" fontId="5" fillId="9" borderId="1" xfId="0" applyNumberFormat="1" applyFont="1" applyFill="1" applyBorder="1" applyAlignment="1">
      <alignment horizontal="center" vertical="center"/>
    </xf>
    <xf numFmtId="167" fontId="5" fillId="9" borderId="1" xfId="0" applyNumberFormat="1" applyFont="1" applyFill="1" applyBorder="1" applyAlignment="1">
      <alignment horizontal="center" vertical="center"/>
    </xf>
    <xf numFmtId="165" fontId="5" fillId="9" borderId="1" xfId="0" applyNumberFormat="1" applyFont="1" applyFill="1" applyBorder="1" applyAlignment="1">
      <alignment horizontal="right" vertical="center"/>
    </xf>
    <xf numFmtId="170" fontId="5" fillId="9" borderId="1" xfId="0" applyNumberFormat="1" applyFont="1" applyFill="1" applyBorder="1" applyAlignment="1">
      <alignment horizontal="right" vertical="center"/>
    </xf>
    <xf numFmtId="167" fontId="5" fillId="9" borderId="1" xfId="0" applyNumberFormat="1" applyFont="1" applyFill="1" applyBorder="1" applyAlignment="1">
      <alignment horizontal="right" vertical="center"/>
    </xf>
    <xf numFmtId="165" fontId="3" fillId="4" borderId="1" xfId="0" applyNumberFormat="1" applyFont="1" applyFill="1" applyBorder="1"/>
    <xf numFmtId="165" fontId="3" fillId="6" borderId="0" xfId="0" applyNumberFormat="1" applyFont="1" applyFill="1"/>
    <xf numFmtId="164" fontId="4" fillId="0" borderId="1" xfId="0" applyNumberFormat="1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171" fontId="5" fillId="6" borderId="1" xfId="0" applyNumberFormat="1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164" fontId="4" fillId="0" borderId="0" xfId="0" applyNumberFormat="1" applyFont="1"/>
    <xf numFmtId="172" fontId="4" fillId="0" borderId="0" xfId="0" applyNumberFormat="1" applyFont="1"/>
    <xf numFmtId="165" fontId="5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164" fontId="9" fillId="0" borderId="0" xfId="0" applyNumberFormat="1" applyFont="1" applyAlignment="1">
      <alignment horizontal="left" vertical="center"/>
    </xf>
    <xf numFmtId="0" fontId="2" fillId="11" borderId="1" xfId="0" applyFont="1" applyFill="1" applyBorder="1" applyAlignment="1">
      <alignment horizontal="center" vertical="center"/>
    </xf>
    <xf numFmtId="164" fontId="10" fillId="6" borderId="1" xfId="0" applyNumberFormat="1" applyFont="1" applyFill="1" applyBorder="1" applyAlignment="1">
      <alignment horizontal="center" vertical="center"/>
    </xf>
    <xf numFmtId="172" fontId="10" fillId="6" borderId="1" xfId="0" applyNumberFormat="1" applyFont="1" applyFill="1" applyBorder="1" applyAlignment="1">
      <alignment horizontal="center" vertical="center"/>
    </xf>
    <xf numFmtId="171" fontId="10" fillId="6" borderId="1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left" vertical="center"/>
    </xf>
    <xf numFmtId="2" fontId="9" fillId="0" borderId="0" xfId="0" applyNumberFormat="1" applyFont="1" applyAlignment="1">
      <alignment horizontal="left" vertical="center"/>
    </xf>
    <xf numFmtId="172" fontId="5" fillId="8" borderId="1" xfId="0" applyNumberFormat="1" applyFont="1" applyFill="1" applyBorder="1" applyAlignment="1">
      <alignment horizontal="center" vertical="center"/>
    </xf>
    <xf numFmtId="171" fontId="9" fillId="8" borderId="1" xfId="0" applyNumberFormat="1" applyFont="1" applyFill="1" applyBorder="1" applyAlignment="1">
      <alignment horizontal="center" vertical="center"/>
    </xf>
    <xf numFmtId="168" fontId="9" fillId="0" borderId="0" xfId="0" applyNumberFormat="1" applyFont="1" applyAlignment="1">
      <alignment horizontal="left" vertical="center"/>
    </xf>
    <xf numFmtId="172" fontId="9" fillId="0" borderId="0" xfId="0" applyNumberFormat="1" applyFont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center" vertical="center"/>
    </xf>
    <xf numFmtId="171" fontId="5" fillId="8" borderId="1" xfId="0" applyNumberFormat="1" applyFont="1" applyFill="1" applyBorder="1" applyAlignment="1">
      <alignment horizontal="center" vertical="center"/>
    </xf>
    <xf numFmtId="168" fontId="4" fillId="12" borderId="0" xfId="0" applyNumberFormat="1" applyFont="1" applyFill="1"/>
    <xf numFmtId="173" fontId="4" fillId="0" borderId="0" xfId="0" applyNumberFormat="1" applyFont="1"/>
    <xf numFmtId="174" fontId="4" fillId="0" borderId="0" xfId="0" applyNumberFormat="1" applyFont="1"/>
    <xf numFmtId="0" fontId="2" fillId="11" borderId="1" xfId="0" applyFont="1" applyFill="1" applyBorder="1" applyAlignment="1">
      <alignment horizontal="center" vertical="center" wrapText="1"/>
    </xf>
    <xf numFmtId="10" fontId="5" fillId="13" borderId="1" xfId="0" applyNumberFormat="1" applyFont="1" applyFill="1" applyBorder="1" applyAlignment="1">
      <alignment horizontal="center" vertical="center"/>
    </xf>
    <xf numFmtId="2" fontId="5" fillId="13" borderId="1" xfId="0" applyNumberFormat="1" applyFont="1" applyFill="1" applyBorder="1" applyAlignment="1">
      <alignment horizontal="center" vertical="center"/>
    </xf>
    <xf numFmtId="167" fontId="5" fillId="13" borderId="1" xfId="0" applyNumberFormat="1" applyFont="1" applyFill="1" applyBorder="1" applyAlignment="1">
      <alignment horizontal="center" vertical="center"/>
    </xf>
    <xf numFmtId="10" fontId="5" fillId="8" borderId="1" xfId="0" applyNumberFormat="1" applyFont="1" applyFill="1" applyBorder="1" applyAlignment="1">
      <alignment horizontal="center" vertical="center"/>
    </xf>
    <xf numFmtId="2" fontId="5" fillId="8" borderId="1" xfId="0" applyNumberFormat="1" applyFont="1" applyFill="1" applyBorder="1" applyAlignment="1">
      <alignment horizontal="center" vertical="center"/>
    </xf>
    <xf numFmtId="10" fontId="13" fillId="10" borderId="1" xfId="0" applyNumberFormat="1" applyFont="1" applyFill="1" applyBorder="1" applyAlignment="1">
      <alignment horizontal="center" vertical="center"/>
    </xf>
    <xf numFmtId="2" fontId="13" fillId="10" borderId="1" xfId="0" applyNumberFormat="1" applyFont="1" applyFill="1" applyBorder="1" applyAlignment="1">
      <alignment horizontal="center" vertical="center"/>
    </xf>
    <xf numFmtId="167" fontId="13" fillId="10" borderId="1" xfId="0" applyNumberFormat="1" applyFont="1" applyFill="1" applyBorder="1" applyAlignment="1">
      <alignment horizontal="center" vertical="center"/>
    </xf>
    <xf numFmtId="0" fontId="14" fillId="14" borderId="3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8000"/>
      <rgbColor rgb="FF000080"/>
      <rgbColor rgb="FF808000"/>
      <rgbColor rgb="FF800080"/>
      <rgbColor rgb="FF1F6B2A"/>
      <rgbColor rgb="FFB3B3B3"/>
      <rgbColor rgb="FF888888"/>
      <rgbColor rgb="FF9999FF"/>
      <rgbColor rgb="FF993366"/>
      <rgbColor rgb="FFFFF2CC"/>
      <rgbColor rgb="FFDCE6F1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2F2"/>
      <rgbColor rgb="FFE2EFDA"/>
      <rgbColor rgb="FFFFFF99"/>
      <rgbColor rgb="FFD9E1F2"/>
      <rgbColor rgb="FFFF99CC"/>
      <rgbColor rgb="FFCC99FF"/>
      <rgbColor rgb="FFFFCC99"/>
      <rgbColor rgb="FF3366FF"/>
      <rgbColor rgb="FF33CCCC"/>
      <rgbColor rgb="FF99CC00"/>
      <rgbColor rgb="FFFFD700"/>
      <rgbColor rgb="FFFF8C00"/>
      <rgbColor rgb="FFFF6600"/>
      <rgbColor rgb="FF666699"/>
      <rgbColor rgb="FF969696"/>
      <rgbColor rgb="FF1F3864"/>
      <rgbColor rgb="FF339966"/>
      <rgbColor rgb="FF006400"/>
      <rgbColor rgb="FF375623"/>
      <rgbColor rgb="FF993300"/>
      <rgbColor rgb="FF993366"/>
      <rgbColor rgb="FF2F5496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800" b="1" strike="noStrike" spc="-1">
                <a:solidFill>
                  <a:srgbClr val="000000"/>
                </a:solidFill>
                <a:latin typeface="Calibri"/>
              </a:defRPr>
            </a:pPr>
            <a:r>
              <a:rPr lang="en-US" sz="1800" b="1" strike="noStrike" spc="-1">
                <a:solidFill>
                  <a:srgbClr val="000000"/>
                </a:solidFill>
                <a:latin typeface="Calibri"/>
              </a:rPr>
              <a:t>Call Schedule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'CALL SCHEDULE'!$C$15</c:f>
              <c:strCache>
                <c:ptCount val="1"/>
                <c:pt idx="0">
                  <c:v>YTC</c:v>
                </c:pt>
              </c:strCache>
            </c:strRef>
          </c:tx>
          <c:spPr>
            <a:ln w="28080">
              <a:solidFill>
                <a:srgbClr val="1F6B2A"/>
              </a:solidFill>
              <a:round/>
            </a:ln>
          </c:spPr>
          <c:marker>
            <c:symbol val="circle"/>
            <c:size val="7"/>
            <c:spPr>
              <a:solidFill>
                <a:srgbClr val="1F6B2A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strike="noStrike" spc="-1">
                    <a:solidFill>
                      <a:srgbClr val="000000"/>
                    </a:solidFill>
                    <a:latin typeface="Calibri"/>
                  </a:defRPr>
                </a:pPr>
                <a:endParaRPr lang="en-US"/>
              </a:p>
            </c:txPr>
            <c:dLblPos val="r"/>
            <c:showLegendKey val="1"/>
            <c:showVal val="1"/>
            <c:showCatName val="0"/>
            <c:showSerName val="1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'CALL SCHEDULE'!$B$16:$B$19</c:f>
              <c:strCache>
                <c:ptCount val="4"/>
                <c:pt idx="0">
                  <c:v>February 10, 2033</c:v>
                </c:pt>
                <c:pt idx="1">
                  <c:v>March 10, 2033</c:v>
                </c:pt>
                <c:pt idx="2">
                  <c:v>April 10, 2033</c:v>
                </c:pt>
                <c:pt idx="3">
                  <c:v>May 10, 2033</c:v>
                </c:pt>
              </c:strCache>
            </c:strRef>
          </c:cat>
          <c:val>
            <c:numRef>
              <c:f>'CALL SCHEDULE'!$C$16:$C$19</c:f>
              <c:numCache>
                <c:formatCode>0.00000%</c:formatCode>
                <c:ptCount val="4"/>
                <c:pt idx="0">
                  <c:v>4.2451999999999997E-2</c:v>
                </c:pt>
                <c:pt idx="1">
                  <c:v>4.2455E-2</c:v>
                </c:pt>
                <c:pt idx="2">
                  <c:v>4.2458000000000003E-2</c:v>
                </c:pt>
                <c:pt idx="3">
                  <c:v>4.2459999999999998E-2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57C-194E-B4B9-7FA2BDA5CC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1054171"/>
        <c:axId val="45761448"/>
      </c:lineChart>
      <c:catAx>
        <c:axId val="41054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Call Date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5761448"/>
        <c:crosses val="autoZero"/>
        <c:auto val="1"/>
        <c:lblAlgn val="ctr"/>
        <c:lblOffset val="100"/>
        <c:noMultiLvlLbl val="0"/>
      </c:catAx>
      <c:valAx>
        <c:axId val="45761448"/>
        <c:scaling>
          <c:orientation val="minMax"/>
          <c:max val="4.2500000000000003E-2"/>
          <c:min val="4.24E-2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title>
          <c:tx>
            <c:rich>
              <a:bodyPr rot="-5400000"/>
              <a:lstStyle/>
              <a:p>
                <a:pPr>
                  <a:defRPr sz="1000" b="1" strike="noStrike" spc="-1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strike="noStrike" spc="-1">
                    <a:solidFill>
                      <a:srgbClr val="000000"/>
                    </a:solidFill>
                    <a:latin typeface="Calibri"/>
                  </a:rPr>
                  <a:t>Yield to Call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%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41054171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'PRICE YIELD CURVE'!$B$10</c:f>
              <c:strCache>
                <c:ptCount val="1"/>
                <c:pt idx="0">
                  <c:v>Price</c:v>
                </c:pt>
              </c:strCache>
            </c:strRef>
          </c:tx>
          <c:spPr>
            <a:ln w="20160">
              <a:solidFill>
                <a:srgbClr val="FF0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'PRICE YIELD CURVE'!$A$11:$A$41</c:f>
              <c:numCache>
                <c:formatCode>0.00%</c:formatCode>
                <c:ptCount val="3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</c:numCache>
            </c:numRef>
          </c:cat>
          <c:val>
            <c:numRef>
              <c:f>'PRICE YIELD CURVE'!$B$11:$B$41</c:f>
              <c:numCache>
                <c:formatCode>0.00</c:formatCode>
                <c:ptCount val="31"/>
                <c:pt idx="0">
                  <c:v>130.50611111111112</c:v>
                </c:pt>
                <c:pt idx="1">
                  <c:v>126.45346473252503</c:v>
                </c:pt>
                <c:pt idx="2">
                  <c:v>122.54533198299967</c:v>
                </c:pt>
                <c:pt idx="3">
                  <c:v>118.77612279651508</c:v>
                </c:pt>
                <c:pt idx="4">
                  <c:v>115.14047805195396</c:v>
                </c:pt>
                <c:pt idx="5">
                  <c:v>111.63325945850181</c:v>
                </c:pt>
                <c:pt idx="6">
                  <c:v>108.24953990840848</c:v>
                </c:pt>
                <c:pt idx="7">
                  <c:v>104.98459427440476</c:v>
                </c:pt>
                <c:pt idx="8">
                  <c:v>101.83389063023296</c:v>
                </c:pt>
                <c:pt idx="9">
                  <c:v>98.793081873836044</c:v>
                </c:pt>
                <c:pt idx="10">
                  <c:v>95.857997733796211</c:v>
                </c:pt>
                <c:pt idx="11">
                  <c:v>93.024637140585</c:v>
                </c:pt>
                <c:pt idx="12">
                  <c:v>90.289160945123399</c:v>
                </c:pt>
                <c:pt idx="13">
                  <c:v>87.64788496802484</c:v>
                </c:pt>
                <c:pt idx="14">
                  <c:v>85.097273363735368</c:v>
                </c:pt>
                <c:pt idx="15">
                  <c:v>82.63393228456809</c:v>
                </c:pt>
                <c:pt idx="16">
                  <c:v>80.254603830383942</c:v>
                </c:pt>
                <c:pt idx="17">
                  <c:v>77.956160270374468</c:v>
                </c:pt>
                <c:pt idx="18">
                  <c:v>75.735598524083272</c:v>
                </c:pt>
                <c:pt idx="19">
                  <c:v>73.59003488943263</c:v>
                </c:pt>
                <c:pt idx="20">
                  <c:v>71.516700006132666</c:v>
                </c:pt>
                <c:pt idx="21">
                  <c:v>69.51293404341871</c:v>
                </c:pt>
                <c:pt idx="22">
                  <c:v>67.57618210161273</c:v>
                </c:pt>
                <c:pt idx="23">
                  <c:v>65.70398981751471</c:v>
                </c:pt>
                <c:pt idx="24">
                  <c:v>63.893999164123713</c:v>
                </c:pt>
                <c:pt idx="25">
                  <c:v>62.143944435648621</c:v>
                </c:pt>
                <c:pt idx="26">
                  <c:v>60.451648409214627</c:v>
                </c:pt>
                <c:pt idx="27">
                  <c:v>58.815018675084531</c:v>
                </c:pt>
                <c:pt idx="28">
                  <c:v>57.232044127613541</c:v>
                </c:pt>
                <c:pt idx="29">
                  <c:v>55.700791609533624</c:v>
                </c:pt>
                <c:pt idx="30">
                  <c:v>54.219402702517641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3A71-CA45-8412-EFC2764A97FD}"/>
            </c:ext>
          </c:extLst>
        </c:ser>
        <c:ser>
          <c:idx val="1"/>
          <c:order val="1"/>
          <c:tx>
            <c:strRef>
              <c:f>'PRICE YIELD CURVE'!$C$10</c:f>
              <c:strCache>
                <c:ptCount val="1"/>
                <c:pt idx="0">
                  <c:v>Duration Only</c:v>
                </c:pt>
              </c:strCache>
            </c:strRef>
          </c:tx>
          <c:spPr>
            <a:ln w="20160">
              <a:solidFill>
                <a:srgbClr val="008000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'PRICE YIELD CURVE'!$A$11:$A$41</c:f>
              <c:numCache>
                <c:formatCode>0.00%</c:formatCode>
                <c:ptCount val="3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</c:numCache>
            </c:numRef>
          </c:cat>
          <c:val>
            <c:numRef>
              <c:f>'PRICE YIELD CURVE'!$C$11:$C$41</c:f>
              <c:numCache>
                <c:formatCode>0.0000</c:formatCode>
                <c:ptCount val="31"/>
                <c:pt idx="0">
                  <c:v>124.93161615671599</c:v>
                </c:pt>
                <c:pt idx="1">
                  <c:v>122.033270241716</c:v>
                </c:pt>
                <c:pt idx="2">
                  <c:v>119.13492432671599</c:v>
                </c:pt>
                <c:pt idx="3">
                  <c:v>116.23657841171598</c:v>
                </c:pt>
                <c:pt idx="4">
                  <c:v>113.338232496716</c:v>
                </c:pt>
                <c:pt idx="5">
                  <c:v>110.439886581716</c:v>
                </c:pt>
                <c:pt idx="6">
                  <c:v>107.541540666716</c:v>
                </c:pt>
                <c:pt idx="7">
                  <c:v>104.643194751716</c:v>
                </c:pt>
                <c:pt idx="8">
                  <c:v>101.74484883671599</c:v>
                </c:pt>
                <c:pt idx="9">
                  <c:v>98.846502921715995</c:v>
                </c:pt>
                <c:pt idx="10">
                  <c:v>95.948157006715988</c:v>
                </c:pt>
                <c:pt idx="11">
                  <c:v>93.049811091715995</c:v>
                </c:pt>
                <c:pt idx="12">
                  <c:v>90.151465176716002</c:v>
                </c:pt>
                <c:pt idx="13">
                  <c:v>87.253119261715995</c:v>
                </c:pt>
                <c:pt idx="14">
                  <c:v>84.354773346715987</c:v>
                </c:pt>
                <c:pt idx="15">
                  <c:v>81.456427431715994</c:v>
                </c:pt>
                <c:pt idx="16">
                  <c:v>78.558081516715987</c:v>
                </c:pt>
                <c:pt idx="17">
                  <c:v>75.659735601715994</c:v>
                </c:pt>
                <c:pt idx="18">
                  <c:v>72.761389686716001</c:v>
                </c:pt>
                <c:pt idx="19">
                  <c:v>69.863043771715994</c:v>
                </c:pt>
                <c:pt idx="20">
                  <c:v>66.964697856716001</c:v>
                </c:pt>
                <c:pt idx="21">
                  <c:v>64.066351941716007</c:v>
                </c:pt>
                <c:pt idx="22">
                  <c:v>61.168006026716007</c:v>
                </c:pt>
                <c:pt idx="23">
                  <c:v>58.269660111716</c:v>
                </c:pt>
                <c:pt idx="24">
                  <c:v>55.371314196715993</c:v>
                </c:pt>
                <c:pt idx="25">
                  <c:v>52.472968281715993</c:v>
                </c:pt>
                <c:pt idx="26">
                  <c:v>49.574622366716</c:v>
                </c:pt>
                <c:pt idx="27">
                  <c:v>46.676276451715992</c:v>
                </c:pt>
                <c:pt idx="28">
                  <c:v>43.777930536715992</c:v>
                </c:pt>
                <c:pt idx="29">
                  <c:v>40.879584621716006</c:v>
                </c:pt>
                <c:pt idx="30">
                  <c:v>37.981238706715999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3A71-CA45-8412-EFC2764A97FD}"/>
            </c:ext>
          </c:extLst>
        </c:ser>
        <c:ser>
          <c:idx val="2"/>
          <c:order val="2"/>
          <c:tx>
            <c:strRef>
              <c:f>'PRICE YIELD CURVE'!$D$10</c:f>
              <c:strCache>
                <c:ptCount val="1"/>
                <c:pt idx="0">
                  <c:v>Duration and
convexity</c:v>
                </c:pt>
              </c:strCache>
            </c:strRef>
          </c:tx>
          <c:spPr>
            <a:ln w="20160">
              <a:solidFill>
                <a:srgbClr val="0000FF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strike="noStrike" spc="-1">
                    <a:latin typeface="Arial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numRef>
              <c:f>'PRICE YIELD CURVE'!$A$11:$A$41</c:f>
              <c:numCache>
                <c:formatCode>0.00%</c:formatCode>
                <c:ptCount val="31"/>
                <c:pt idx="0">
                  <c:v>0</c:v>
                </c:pt>
                <c:pt idx="1">
                  <c:v>5.0000000000000001E-3</c:v>
                </c:pt>
                <c:pt idx="2">
                  <c:v>0.01</c:v>
                </c:pt>
                <c:pt idx="3">
                  <c:v>1.4999999999999999E-2</c:v>
                </c:pt>
                <c:pt idx="4">
                  <c:v>0.02</c:v>
                </c:pt>
                <c:pt idx="5">
                  <c:v>2.5000000000000001E-2</c:v>
                </c:pt>
                <c:pt idx="6">
                  <c:v>0.03</c:v>
                </c:pt>
                <c:pt idx="7">
                  <c:v>3.5000000000000003E-2</c:v>
                </c:pt>
                <c:pt idx="8">
                  <c:v>0.04</c:v>
                </c:pt>
                <c:pt idx="9">
                  <c:v>4.4999999999999998E-2</c:v>
                </c:pt>
                <c:pt idx="10">
                  <c:v>0.05</c:v>
                </c:pt>
                <c:pt idx="11">
                  <c:v>5.5E-2</c:v>
                </c:pt>
                <c:pt idx="12">
                  <c:v>0.06</c:v>
                </c:pt>
                <c:pt idx="13">
                  <c:v>6.5000000000000002E-2</c:v>
                </c:pt>
                <c:pt idx="14">
                  <c:v>7.0000000000000007E-2</c:v>
                </c:pt>
                <c:pt idx="15">
                  <c:v>7.4999999999999997E-2</c:v>
                </c:pt>
                <c:pt idx="16">
                  <c:v>0.08</c:v>
                </c:pt>
                <c:pt idx="17">
                  <c:v>8.5000000000000006E-2</c:v>
                </c:pt>
                <c:pt idx="18">
                  <c:v>0.09</c:v>
                </c:pt>
                <c:pt idx="19">
                  <c:v>9.5000000000000001E-2</c:v>
                </c:pt>
                <c:pt idx="20">
                  <c:v>0.1</c:v>
                </c:pt>
                <c:pt idx="21">
                  <c:v>0.105</c:v>
                </c:pt>
                <c:pt idx="22">
                  <c:v>0.11</c:v>
                </c:pt>
                <c:pt idx="23">
                  <c:v>0.115</c:v>
                </c:pt>
                <c:pt idx="24">
                  <c:v>0.12</c:v>
                </c:pt>
                <c:pt idx="25">
                  <c:v>0.125</c:v>
                </c:pt>
                <c:pt idx="26">
                  <c:v>0.13</c:v>
                </c:pt>
                <c:pt idx="27">
                  <c:v>0.13500000000000001</c:v>
                </c:pt>
                <c:pt idx="28">
                  <c:v>0.14000000000000001</c:v>
                </c:pt>
                <c:pt idx="29">
                  <c:v>0.14499999999999999</c:v>
                </c:pt>
                <c:pt idx="30">
                  <c:v>0.15</c:v>
                </c:pt>
              </c:numCache>
            </c:numRef>
          </c:cat>
          <c:val>
            <c:numRef>
              <c:f>'PRICE YIELD CURVE'!$D$11:$D$41</c:f>
              <c:numCache>
                <c:formatCode>0.0000</c:formatCode>
                <c:ptCount val="31"/>
                <c:pt idx="0">
                  <c:v>128.4572207029527</c:v>
                </c:pt>
                <c:pt idx="1">
                  <c:v>124.77729051591271</c:v>
                </c:pt>
                <c:pt idx="2">
                  <c:v>121.19517574137269</c:v>
                </c:pt>
                <c:pt idx="3">
                  <c:v>117.71087637933269</c:v>
                </c:pt>
                <c:pt idx="4">
                  <c:v>114.3243924297927</c:v>
                </c:pt>
                <c:pt idx="5">
                  <c:v>111.03572389275271</c:v>
                </c:pt>
                <c:pt idx="6">
                  <c:v>107.84487076821272</c:v>
                </c:pt>
                <c:pt idx="7">
                  <c:v>104.75183305617271</c:v>
                </c:pt>
                <c:pt idx="8">
                  <c:v>101.7566107566327</c:v>
                </c:pt>
                <c:pt idx="9">
                  <c:v>98.859203869592704</c:v>
                </c:pt>
                <c:pt idx="10">
                  <c:v>96.05961239505271</c:v>
                </c:pt>
                <c:pt idx="11">
                  <c:v>93.357836333012699</c:v>
                </c:pt>
                <c:pt idx="12">
                  <c:v>90.753875683472714</c:v>
                </c:pt>
                <c:pt idx="13">
                  <c:v>88.247730446432698</c:v>
                </c:pt>
                <c:pt idx="14">
                  <c:v>85.839400621892707</c:v>
                </c:pt>
                <c:pt idx="15">
                  <c:v>83.528886209852701</c:v>
                </c:pt>
                <c:pt idx="16">
                  <c:v>81.316187210312705</c:v>
                </c:pt>
                <c:pt idx="17">
                  <c:v>79.201303623272707</c:v>
                </c:pt>
                <c:pt idx="18">
                  <c:v>77.184235448732693</c:v>
                </c:pt>
                <c:pt idx="19">
                  <c:v>75.264982686692704</c:v>
                </c:pt>
                <c:pt idx="20">
                  <c:v>73.443545337152713</c:v>
                </c:pt>
                <c:pt idx="21">
                  <c:v>71.719923400112719</c:v>
                </c:pt>
                <c:pt idx="22">
                  <c:v>70.094116875572709</c:v>
                </c:pt>
                <c:pt idx="23">
                  <c:v>68.56612576353271</c:v>
                </c:pt>
                <c:pt idx="24">
                  <c:v>67.135950063992709</c:v>
                </c:pt>
                <c:pt idx="25">
                  <c:v>65.803589776952705</c:v>
                </c:pt>
                <c:pt idx="26">
                  <c:v>64.569044902412713</c:v>
                </c:pt>
                <c:pt idx="27">
                  <c:v>63.432315440372705</c:v>
                </c:pt>
                <c:pt idx="28">
                  <c:v>62.393401390832715</c:v>
                </c:pt>
                <c:pt idx="29">
                  <c:v>61.452302753792708</c:v>
                </c:pt>
                <c:pt idx="30">
                  <c:v>60.609019529252706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3A71-CA45-8412-EFC2764A9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094924"/>
        <c:axId val="37742736"/>
      </c:lineChart>
      <c:catAx>
        <c:axId val="25094924"/>
        <c:scaling>
          <c:orientation val="minMax"/>
        </c:scaling>
        <c:delete val="0"/>
        <c:axPos val="b"/>
        <c:numFmt formatCode="0.00%" sourceLinked="1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37742736"/>
        <c:crosses val="autoZero"/>
        <c:auto val="1"/>
        <c:lblAlgn val="ctr"/>
        <c:lblOffset val="100"/>
        <c:noMultiLvlLbl val="0"/>
      </c:catAx>
      <c:valAx>
        <c:axId val="37742736"/>
        <c:scaling>
          <c:orientation val="minMax"/>
        </c:scaling>
        <c:delete val="0"/>
        <c:axPos val="l"/>
        <c:majorGridlines>
          <c:spPr>
            <a:ln w="0">
              <a:solidFill>
                <a:srgbClr val="B3B3B3"/>
              </a:solidFill>
            </a:ln>
          </c:spPr>
        </c:majorGridlines>
        <c:numFmt formatCode="0" sourceLinked="0"/>
        <c:majorTickMark val="none"/>
        <c:minorTickMark val="none"/>
        <c:tickLblPos val="nextTo"/>
        <c:spPr>
          <a:ln w="0">
            <a:solidFill>
              <a:srgbClr val="B3B3B3"/>
            </a:solidFill>
          </a:ln>
        </c:spPr>
        <c:txPr>
          <a:bodyPr/>
          <a:lstStyle/>
          <a:p>
            <a:pPr>
              <a:defRPr sz="1000" b="0" strike="noStrike" spc="-1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25094924"/>
        <c:crosses val="autoZero"/>
        <c:crossBetween val="between"/>
      </c:valAx>
      <c:spPr>
        <a:noFill/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strike="noStrike" spc="-1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190500</xdr:colOff>
      <xdr:row>27</xdr:row>
      <xdr:rowOff>177800</xdr:rowOff>
    </xdr:from>
    <xdr:to>
      <xdr:col>9</xdr:col>
      <xdr:colOff>776940</xdr:colOff>
      <xdr:row>54</xdr:row>
      <xdr:rowOff>72980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114300</xdr:colOff>
      <xdr:row>5</xdr:row>
      <xdr:rowOff>76200</xdr:rowOff>
    </xdr:from>
    <xdr:to>
      <xdr:col>21</xdr:col>
      <xdr:colOff>301500</xdr:colOff>
      <xdr:row>37</xdr:row>
      <xdr:rowOff>117620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O28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20" customWidth="1"/>
    <col min="3" max="3" width="16" customWidth="1"/>
    <col min="4" max="4" width="8.33203125" customWidth="1"/>
    <col min="5" max="5" width="20" customWidth="1"/>
    <col min="6" max="6" width="16" customWidth="1"/>
    <col min="7" max="7" width="3" customWidth="1"/>
    <col min="8" max="8" width="18" customWidth="1"/>
    <col min="9" max="9" width="14" customWidth="1"/>
    <col min="10" max="10" width="9.6640625" customWidth="1"/>
    <col min="11" max="11" width="20" customWidth="1"/>
    <col min="12" max="12" width="14" customWidth="1"/>
    <col min="13" max="13" width="3" customWidth="1"/>
    <col min="14" max="14" width="36" customWidth="1"/>
    <col min="15" max="15" width="14" customWidth="1"/>
  </cols>
  <sheetData>
    <row r="1" spans="2:15" ht="21.75" customHeight="1" x14ac:dyDescent="0.2">
      <c r="B1" s="9" t="s">
        <v>0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2:15" ht="15" customHeight="1" x14ac:dyDescent="0.2">
      <c r="B3" s="8" t="s">
        <v>1</v>
      </c>
      <c r="C3" s="8"/>
      <c r="E3" s="8" t="s">
        <v>2</v>
      </c>
      <c r="F3" s="8"/>
      <c r="H3" s="8" t="s">
        <v>3</v>
      </c>
      <c r="I3" s="8"/>
      <c r="K3" s="8" t="s">
        <v>4</v>
      </c>
      <c r="L3" s="8"/>
      <c r="N3" s="8" t="s">
        <v>5</v>
      </c>
      <c r="O3" s="8"/>
    </row>
    <row r="4" spans="2:15" ht="15" customHeight="1" x14ac:dyDescent="0.2">
      <c r="B4" s="10" t="s">
        <v>6</v>
      </c>
      <c r="C4" s="11" t="s">
        <v>7</v>
      </c>
      <c r="E4" s="10" t="s">
        <v>8</v>
      </c>
      <c r="F4" s="12">
        <v>46115</v>
      </c>
      <c r="H4" s="10" t="s">
        <v>9</v>
      </c>
      <c r="I4" s="13">
        <v>10000</v>
      </c>
      <c r="K4" s="10" t="s">
        <v>10</v>
      </c>
      <c r="L4" s="14">
        <v>146</v>
      </c>
    </row>
    <row r="5" spans="2:15" ht="15" customHeight="1" x14ac:dyDescent="0.2">
      <c r="B5" s="10" t="s">
        <v>11</v>
      </c>
      <c r="C5" s="11" t="s">
        <v>12</v>
      </c>
      <c r="E5" s="10" t="s">
        <v>13</v>
      </c>
      <c r="F5" s="12">
        <v>46118</v>
      </c>
      <c r="H5" s="10" t="s">
        <v>14</v>
      </c>
      <c r="I5" s="15">
        <f>I4*F6/100</f>
        <v>10032.35</v>
      </c>
      <c r="K5" s="10" t="s">
        <v>15</v>
      </c>
      <c r="L5" s="16">
        <f>180-L4</f>
        <v>34.0</v>
      </c>
      <c r="N5" s="10" t="s">
        <v>16</v>
      </c>
      <c r="O5" s="17">
        <f>SUM(H12:H26)/2</f>
        <v>6.08625337105569</v>
      </c>
    </row>
    <row r="6" spans="2:15" ht="15" customHeight="1" x14ac:dyDescent="0.2">
      <c r="B6" s="10" t="s">
        <v>17</v>
      </c>
      <c r="C6" s="11" t="s">
        <v>18</v>
      </c>
      <c r="E6" s="10" t="s">
        <v>19</v>
      </c>
      <c r="F6" s="18">
        <v>100.3235</v>
      </c>
      <c r="H6" s="10" t="s">
        <v>20</v>
      </c>
      <c r="I6" s="15">
        <f>I4*C7*(146/360)</f>
        <v>174.388888888889</v>
      </c>
      <c r="K6" s="10" t="s">
        <v>21</v>
      </c>
      <c r="L6" s="19">
        <f>I4*C7/2</f>
        <v>215.0</v>
      </c>
      <c r="N6" s="10" t="s">
        <v>22</v>
      </c>
      <c r="O6" s="17">
        <f>DURATION(F5,C8,C7,J9,2,0)</f>
        <v>6.08625337105571</v>
      </c>
    </row>
    <row r="7" spans="2:15" ht="15" customHeight="1" x14ac:dyDescent="0.2">
      <c r="B7" s="10" t="s">
        <v>21</v>
      </c>
      <c r="C7" s="20">
        <v>4.2999999999999997E-2</v>
      </c>
      <c r="H7" s="10" t="s">
        <v>23</v>
      </c>
      <c r="I7" s="21">
        <f>I5+I6</f>
        <v>10206.7388888889</v>
      </c>
      <c r="K7" s="10" t="s">
        <v>24</v>
      </c>
      <c r="L7" s="12">
        <v>46152</v>
      </c>
      <c r="N7" s="10" t="s">
        <v>25</v>
      </c>
      <c r="O7" s="17">
        <f>MDURATION(F5,C8,C7,J9,2,0)</f>
        <v>5.95972429651877</v>
      </c>
    </row>
    <row r="8" spans="2:15" ht="15" customHeight="1" x14ac:dyDescent="0.2">
      <c r="B8" s="10" t="s">
        <v>26</v>
      </c>
      <c r="C8" s="12">
        <v>48709</v>
      </c>
      <c r="K8" s="10" t="s">
        <v>27</v>
      </c>
      <c r="L8" s="14">
        <v>15</v>
      </c>
      <c r="N8" s="10" t="s">
        <v>28</v>
      </c>
      <c r="O8" s="22">
        <f>SUM(I12:I26)/4</f>
        <v>42.2489215471164</v>
      </c>
    </row>
    <row r="9" spans="2:15" ht="15" customHeight="1" x14ac:dyDescent="0.2">
      <c r="H9" s="7" t="s">
        <v>29</v>
      </c>
      <c r="I9" s="7"/>
      <c r="J9" s="23">
        <f>YIELD(F5,C8,C7,F6,100,2,0)</f>
        <v>0.0424613852056378</v>
      </c>
      <c r="N9" s="10" t="inlineStr">
        <is>
          <t>Modified duration (years, calculated):</t>
        </is>
      </c>
      <c r="O9" s="17">
        <f>O5/(1+J9/2)</f>
        <v>5.95972429651875</v>
      </c>
    </row>
    <row r="11" spans="2:15" ht="18" customHeight="1" x14ac:dyDescent="0.2">
      <c r="B11" s="24" t="s">
        <v>30</v>
      </c>
      <c r="C11" s="24" t="s">
        <v>31</v>
      </c>
      <c r="D11" s="24" t="s">
        <v>32</v>
      </c>
      <c r="E11" s="24" t="s">
        <v>33</v>
      </c>
      <c r="F11" s="24" t="s">
        <v>34</v>
      </c>
      <c r="G11" s="24" t="s">
        <v>35</v>
      </c>
      <c r="H11" s="24" t="s">
        <v>36</v>
      </c>
      <c r="I11" s="24" t="s">
        <v>37</v>
      </c>
    </row>
    <row r="12" spans="2:15" ht="15" customHeight="1" x14ac:dyDescent="0.2">
      <c r="B12" s="25">
        <v>1</v>
      </c>
      <c r="C12" s="26">
        <v>46152</v>
      </c>
      <c r="D12" s="27">
        <f>$L$5/180</f>
        <v>0.188888888888889</v>
      </c>
      <c r="E12" s="28">
        <f t="shared" ref="E12:E25" si="0">$L$6</f>
        <v>215.0</v>
      </c>
      <c r="F12" s="28">
        <f t="shared" ref="F12:F26" si="1">E12/((1+$J$9/2)^D12)</f>
        <v>214.148513620521</v>
      </c>
      <c r="G12" s="29">
        <f t="shared" ref="G12:G26" si="2">F12/$I$7</f>
        <v>0.0209810906256889</v>
      </c>
      <c r="H12" s="30">
        <f t="shared" ref="H12:H26" si="3">D12*G12</f>
        <v>0.00396309489596347</v>
      </c>
      <c r="I12" s="30">
        <f t="shared" ref="I12:I26" si="4">D12*(D12+1)*G12/((1+$J$9/2)^2)</f>
        <v>0.00451781062193069</v>
      </c>
    </row>
    <row r="13" spans="2:15" ht="15" customHeight="1" x14ac:dyDescent="0.2">
      <c r="B13" s="31">
        <v>2</v>
      </c>
      <c r="C13" s="32">
        <v>46336</v>
      </c>
      <c r="D13" s="33">
        <f>$L$5/180+1</f>
        <v>1.18888888888889</v>
      </c>
      <c r="E13" s="34">
        <f t="shared" si="0"/>
        <v>215.0</v>
      </c>
      <c r="F13" s="34">
        <f t="shared" si="1"/>
        <v>209.696511446125</v>
      </c>
      <c r="G13" s="35">
        <f t="shared" si="2"/>
        <v>0.0205449079994005</v>
      </c>
      <c r="H13" s="36">
        <f t="shared" si="3"/>
        <v>0.0244256128437317</v>
      </c>
      <c r="I13" s="36">
        <f t="shared" si="4"/>
        <v>0.051265059775831</v>
      </c>
    </row>
    <row r="14" spans="2:15" ht="15" customHeight="1" x14ac:dyDescent="0.2">
      <c r="B14" s="25">
        <v>3</v>
      </c>
      <c r="C14" s="26">
        <v>46517</v>
      </c>
      <c r="D14" s="27">
        <f>$L$5/180+2</f>
        <v>2.18888888888889</v>
      </c>
      <c r="E14" s="28">
        <f t="shared" si="0"/>
        <v>215.0</v>
      </c>
      <c r="F14" s="28">
        <f t="shared" si="1"/>
        <v>205.337063373673</v>
      </c>
      <c r="G14" s="29">
        <f t="shared" si="2"/>
        <v>0.02011779331371</v>
      </c>
      <c r="H14" s="30">
        <f t="shared" si="3"/>
        <v>0.0440356142533431</v>
      </c>
      <c r="I14" s="30">
        <f t="shared" si="4"/>
        <v>0.134646704456885</v>
      </c>
    </row>
    <row r="15" spans="2:15" ht="15" customHeight="1" x14ac:dyDescent="0.2">
      <c r="B15" s="31">
        <v>4</v>
      </c>
      <c r="C15" s="32">
        <v>46701</v>
      </c>
      <c r="D15" s="33">
        <f>$L$5/180+3</f>
        <v>3.18888888888889</v>
      </c>
      <c r="E15" s="34">
        <f t="shared" si="0"/>
        <v>215.0</v>
      </c>
      <c r="F15" s="34">
        <f t="shared" si="1"/>
        <v>201.068245266237</v>
      </c>
      <c r="G15" s="35">
        <f t="shared" si="2"/>
        <v>0.0196995580522905</v>
      </c>
      <c r="H15" s="36">
        <f t="shared" si="3"/>
        <v>0.0628197017889707</v>
      </c>
      <c r="I15" s="36">
        <f t="shared" si="4"/>
        <v>0.252317279552962</v>
      </c>
    </row>
    <row r="16" spans="2:15" ht="15" customHeight="1" x14ac:dyDescent="0.2">
      <c r="B16" s="25">
        <v>5</v>
      </c>
      <c r="C16" s="26">
        <v>46883</v>
      </c>
      <c r="D16" s="27">
        <f>$L$5/180+4</f>
        <v>4.18888888888889</v>
      </c>
      <c r="E16" s="28">
        <f t="shared" si="0"/>
        <v>215.0</v>
      </c>
      <c r="F16" s="28">
        <f t="shared" si="1"/>
        <v>196.88817298839</v>
      </c>
      <c r="G16" s="29">
        <f t="shared" si="2"/>
        <v>0.019290017617941</v>
      </c>
      <c r="H16" s="30">
        <f t="shared" si="3"/>
        <v>0.080803740466264</v>
      </c>
      <c r="I16" s="30">
        <f t="shared" si="4"/>
        <v>0.402029682103219</v>
      </c>
    </row>
    <row r="17" spans="2:9" ht="15" customHeight="1" x14ac:dyDescent="0.2">
      <c r="B17" s="31">
        <v>6</v>
      </c>
      <c r="C17" s="32">
        <v>47067</v>
      </c>
      <c r="D17" s="33">
        <f>$L$5/180+5</f>
        <v>5.18888888888889</v>
      </c>
      <c r="E17" s="34">
        <f t="shared" si="0"/>
        <v>215.0</v>
      </c>
      <c r="F17" s="34">
        <f t="shared" si="1"/>
        <v>192.7950015746</v>
      </c>
      <c r="G17" s="35">
        <f t="shared" si="2"/>
        <v>0.0188889912511113</v>
      </c>
      <c r="H17" s="36">
        <f t="shared" si="3"/>
        <v>0.098012876825211</v>
      </c>
      <c r="I17" s="36">
        <f t="shared" si="4"/>
        <v>0.581631748589884</v>
      </c>
    </row>
    <row r="18" spans="2:9" ht="15" customHeight="1" x14ac:dyDescent="0.2">
      <c r="B18" s="25">
        <v>7</v>
      </c>
      <c r="C18" s="26">
        <v>47248</v>
      </c>
      <c r="D18" s="27">
        <f>$L$5/180+6</f>
        <v>6.18888888888889</v>
      </c>
      <c r="E18" s="28">
        <f t="shared" si="0"/>
        <v>215.0</v>
      </c>
      <c r="F18" s="28">
        <f t="shared" si="1"/>
        <v>188.786924414915</v>
      </c>
      <c r="G18" s="29">
        <f t="shared" si="2"/>
        <v>0.0184963019501194</v>
      </c>
      <c r="H18" s="30">
        <f t="shared" si="3"/>
        <v>0.114471557624628</v>
      </c>
      <c r="I18" s="30">
        <f t="shared" si="4"/>
        <v>0.789062939236383</v>
      </c>
    </row>
    <row r="19" spans="2:9" ht="15" customHeight="1" x14ac:dyDescent="0.2">
      <c r="B19" s="31">
        <v>8</v>
      </c>
      <c r="C19" s="32">
        <v>47432</v>
      </c>
      <c r="D19" s="33">
        <f>$L$5/180+7</f>
        <v>7.18888888888889</v>
      </c>
      <c r="E19" s="34">
        <f t="shared" si="0"/>
        <v>215.0</v>
      </c>
      <c r="F19" s="34">
        <f t="shared" si="1"/>
        <v>184.862172457579</v>
      </c>
      <c r="G19" s="35">
        <f t="shared" si="2"/>
        <v>0.018111776393028</v>
      </c>
      <c r="H19" s="36">
        <f t="shared" si="3"/>
        <v>0.130203548069879</v>
      </c>
      <c r="I19" s="36">
        <f t="shared" si="4"/>
        <v>1.02235112619208</v>
      </c>
    </row>
    <row r="20" spans="2:9" ht="15" customHeight="1" x14ac:dyDescent="0.2">
      <c r="B20" s="25">
        <v>9</v>
      </c>
      <c r="C20" s="26">
        <v>47613</v>
      </c>
      <c r="D20" s="27">
        <f>$L$5/180+8</f>
        <v>8.18888888888889</v>
      </c>
      <c r="E20" s="28">
        <f t="shared" si="0"/>
        <v>215.0</v>
      </c>
      <c r="F20" s="28">
        <f t="shared" si="1"/>
        <v>181.019013428219</v>
      </c>
      <c r="G20" s="29">
        <f t="shared" si="2"/>
        <v>0.0177352448611453</v>
      </c>
      <c r="H20" s="30">
        <f t="shared" si="3"/>
        <v>0.145231949585157</v>
      </c>
      <c r="I20" s="30">
        <f t="shared" si="4"/>
        <v>1.27960948257049</v>
      </c>
    </row>
    <row r="21" spans="2:9" ht="15" customHeight="1" x14ac:dyDescent="0.2">
      <c r="B21" s="31">
        <v>10</v>
      </c>
      <c r="C21" s="32">
        <v>47797</v>
      </c>
      <c r="D21" s="33">
        <f>$L$5/180+9</f>
        <v>9.18888888888889</v>
      </c>
      <c r="E21" s="34">
        <f t="shared" si="0"/>
        <v>215.0</v>
      </c>
      <c r="F21" s="34">
        <f t="shared" si="1"/>
        <v>177.25575106527</v>
      </c>
      <c r="G21" s="35">
        <f t="shared" si="2"/>
        <v>0.0173665411641158</v>
      </c>
      <c r="H21" s="36">
        <f t="shared" si="3"/>
        <v>0.159579217141375</v>
      </c>
      <c r="I21" s="36">
        <f t="shared" si="4"/>
        <v>1.55903346939214</v>
      </c>
    </row>
    <row r="22" spans="2:9" ht="15" customHeight="1" x14ac:dyDescent="0.2">
      <c r="B22" s="25">
        <v>11</v>
      </c>
      <c r="C22" s="26">
        <v>47978</v>
      </c>
      <c r="D22" s="27">
        <f>$L$5/180+10</f>
        <v>10.1888888888889</v>
      </c>
      <c r="E22" s="28">
        <f t="shared" si="0"/>
        <v>215.0</v>
      </c>
      <c r="F22" s="28">
        <f t="shared" si="1"/>
        <v>173.570724371295</v>
      </c>
      <c r="G22" s="29">
        <f t="shared" si="2"/>
        <v>0.0170055025665685</v>
      </c>
      <c r="H22" s="30">
        <f t="shared" si="3"/>
        <v>0.173267176150482</v>
      </c>
      <c r="I22" s="30">
        <f t="shared" si="4"/>
        <v>1.85889791756515</v>
      </c>
    </row>
    <row r="23" spans="2:9" ht="15" customHeight="1" x14ac:dyDescent="0.2">
      <c r="B23" s="31">
        <v>12</v>
      </c>
      <c r="C23" s="32">
        <v>48162</v>
      </c>
      <c r="D23" s="33">
        <f>$L$5/180+11</f>
        <v>11.1888888888889</v>
      </c>
      <c r="E23" s="34">
        <f t="shared" si="0"/>
        <v>215.0</v>
      </c>
      <c r="F23" s="34">
        <f t="shared" si="1"/>
        <v>169.962306879863</v>
      </c>
      <c r="G23" s="35">
        <f t="shared" si="2"/>
        <v>0.0166519697162905</v>
      </c>
      <c r="H23" s="36">
        <f t="shared" si="3"/>
        <v>0.186317038936717</v>
      </c>
      <c r="I23" s="36">
        <f t="shared" si="4"/>
        <v>2.17755420211649</v>
      </c>
    </row>
    <row r="24" spans="2:9" ht="15" customHeight="1" x14ac:dyDescent="0.2">
      <c r="B24" s="25">
        <v>13</v>
      </c>
      <c r="C24" s="26">
        <v>48344</v>
      </c>
      <c r="D24" s="27">
        <f>$L$5/180+12</f>
        <v>12.1888888888889</v>
      </c>
      <c r="E24" s="28">
        <f t="shared" si="0"/>
        <v>215.0</v>
      </c>
      <c r="F24" s="28">
        <f t="shared" si="1"/>
        <v>166.428905937676</v>
      </c>
      <c r="G24" s="29">
        <f t="shared" si="2"/>
        <v>0.016305786573893</v>
      </c>
      <c r="H24" s="30">
        <f t="shared" si="3"/>
        <v>0.198749420795118</v>
      </c>
      <c r="I24" s="30">
        <f t="shared" si="4"/>
        <v>2.51342750596461</v>
      </c>
    </row>
    <row r="25" spans="2:9" ht="15" customHeight="1" x14ac:dyDescent="0.2">
      <c r="B25" s="31">
        <v>14</v>
      </c>
      <c r="C25" s="32">
        <v>48528</v>
      </c>
      <c r="D25" s="33">
        <f>$L$5/180+13</f>
        <v>13.1888888888889</v>
      </c>
      <c r="E25" s="34">
        <f t="shared" si="0"/>
        <v>215.0</v>
      </c>
      <c r="F25" s="34">
        <f t="shared" si="1"/>
        <v>162.968962001619</v>
      </c>
      <c r="G25" s="35">
        <f t="shared" si="2"/>
        <v>0.0159668003439402</v>
      </c>
      <c r="H25" s="36">
        <f t="shared" si="3"/>
        <v>0.210584355647301</v>
      </c>
      <c r="I25" s="36">
        <f t="shared" si="4"/>
        <v>2.86501417059953</v>
      </c>
    </row>
    <row r="26" spans="2:9" ht="15" customHeight="1" x14ac:dyDescent="0.2">
      <c r="B26" s="25">
        <v>15</v>
      </c>
      <c r="C26" s="26">
        <v>48709</v>
      </c>
      <c r="D26" s="27">
        <f>$L$5/180+14</f>
        <v>14.1888888888889</v>
      </c>
      <c r="E26" s="28">
        <f>$L$6+$I$4</f>
        <v>10215.0</v>
      </c>
      <c r="F26" s="28">
        <f t="shared" si="1"/>
        <v>7581.95062006287</v>
      </c>
      <c r="G26" s="29">
        <f t="shared" si="2"/>
        <v>0.742837717570753</v>
      </c>
      <c r="H26" s="30">
        <f t="shared" si="3"/>
        <v>10.5400418370872</v>
      </c>
      <c r="I26" s="30">
        <f t="shared" si="4"/>
        <v>153.504327089728</v>
      </c>
    </row>
    <row r="27" spans="2:9" ht="15" customHeight="1" x14ac:dyDescent="0.2">
      <c r="B27" s="6" t="s">
        <v>38</v>
      </c>
      <c r="C27" s="6"/>
      <c r="D27" s="6"/>
      <c r="E27" s="37">
        <f>SUM(E12:E26)</f>
        <v>13225.0</v>
      </c>
      <c r="F27" s="37">
        <f>SUM(F12:F26)</f>
        <v>10206.7388888889</v>
      </c>
    </row>
    <row r="28" spans="2:9" ht="15" customHeight="1" x14ac:dyDescent="0.2">
      <c r="E28" s="38">
        <f>$I$7</f>
        <v>10206.7388888889</v>
      </c>
    </row>
  </sheetData>
  <mergeCells count="8">
    <mergeCell ref="H9:I9"/>
    <mergeCell ref="B27:D27"/>
    <mergeCell ref="B1:O1"/>
    <mergeCell ref="B3:C3"/>
    <mergeCell ref="E3:F3"/>
    <mergeCell ref="H3:I3"/>
    <mergeCell ref="K3:L3"/>
    <mergeCell ref="N3:O3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O29"/>
  <sheetViews>
    <sheetView zoomScaleNormal="100" workbookViewId="0"/>
  </sheetViews>
  <sheetFormatPr baseColWidth="10" defaultColWidth="8.6640625" defaultRowHeight="15" x14ac:dyDescent="0.2"/>
  <cols>
    <col min="1" max="1" width="3" customWidth="1"/>
    <col min="2" max="2" width="20" customWidth="1"/>
    <col min="3" max="3" width="16" customWidth="1"/>
    <col min="4" max="4" width="8.6640625" customWidth="1"/>
    <col min="5" max="5" width="20" customWidth="1"/>
    <col min="6" max="6" width="16" customWidth="1"/>
    <col min="7" max="7" width="3" customWidth="1"/>
    <col min="8" max="8" width="18" customWidth="1"/>
    <col min="9" max="9" width="14" customWidth="1"/>
    <col min="10" max="10" width="10" customWidth="1"/>
    <col min="11" max="11" width="20" customWidth="1"/>
    <col min="12" max="13" width="14" customWidth="1"/>
    <col min="14" max="14" width="3" customWidth="1"/>
    <col min="15" max="15" width="18" customWidth="1"/>
  </cols>
  <sheetData>
    <row r="1" spans="2:15" ht="21.75" customHeight="1" x14ac:dyDescent="0.2">
      <c r="B1" s="9" t="s">
        <v>39</v>
      </c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3" spans="2:15" ht="15" customHeight="1" x14ac:dyDescent="0.2">
      <c r="B3" s="8" t="s">
        <v>1</v>
      </c>
      <c r="C3" s="8"/>
      <c r="E3" s="8" t="s">
        <v>2</v>
      </c>
      <c r="F3" s="8"/>
      <c r="H3" s="8" t="s">
        <v>3</v>
      </c>
      <c r="I3" s="8"/>
      <c r="K3" s="8" t="s">
        <v>40</v>
      </c>
      <c r="L3" s="8"/>
      <c r="M3" s="8"/>
    </row>
    <row r="4" spans="2:15" ht="15" customHeight="1" x14ac:dyDescent="0.2">
      <c r="B4" s="10" t="s">
        <v>6</v>
      </c>
      <c r="C4" s="11" t="s">
        <v>7</v>
      </c>
      <c r="E4" s="10" t="s">
        <v>8</v>
      </c>
      <c r="F4" s="12">
        <v>46115</v>
      </c>
      <c r="H4" s="10" t="s">
        <v>9</v>
      </c>
      <c r="I4" s="13">
        <v>10000</v>
      </c>
      <c r="K4" s="24" t="s">
        <v>41</v>
      </c>
      <c r="L4" s="24" t="s">
        <v>42</v>
      </c>
      <c r="M4" s="24" t="s">
        <v>43</v>
      </c>
    </row>
    <row r="5" spans="2:15" ht="15" customHeight="1" x14ac:dyDescent="0.2">
      <c r="B5" s="10" t="s">
        <v>11</v>
      </c>
      <c r="C5" s="11" t="s">
        <v>12</v>
      </c>
      <c r="E5" s="10" t="s">
        <v>13</v>
      </c>
      <c r="F5" s="12">
        <v>46118</v>
      </c>
      <c r="H5" s="10" t="s">
        <v>14</v>
      </c>
      <c r="I5" s="15">
        <f>I4*F6/100</f>
        <v>10032.35</v>
      </c>
      <c r="K5" s="39">
        <v>48620</v>
      </c>
      <c r="L5" s="40">
        <v>100</v>
      </c>
      <c r="M5" s="41">
        <v>4.2451999999999997E-2</v>
      </c>
    </row>
    <row r="6" spans="2:15" ht="15" customHeight="1" x14ac:dyDescent="0.2">
      <c r="B6" s="10" t="s">
        <v>17</v>
      </c>
      <c r="C6" s="11" t="s">
        <v>18</v>
      </c>
      <c r="E6" s="10" t="s">
        <v>19</v>
      </c>
      <c r="F6" s="18">
        <v>100.3235</v>
      </c>
      <c r="H6" s="10" t="s">
        <v>20</v>
      </c>
      <c r="I6" s="15">
        <f>I4*C7*(146/360)</f>
        <v>174.388888888889</v>
      </c>
      <c r="K6" s="42" t="s">
        <v>44</v>
      </c>
      <c r="L6" s="42" t="s">
        <v>45</v>
      </c>
      <c r="M6" s="42" t="s">
        <v>46</v>
      </c>
    </row>
    <row r="7" spans="2:15" ht="15" customHeight="1" x14ac:dyDescent="0.2">
      <c r="B7" s="10" t="s">
        <v>21</v>
      </c>
      <c r="C7" s="20">
        <v>4.2999999999999997E-2</v>
      </c>
      <c r="H7" s="10" t="s">
        <v>23</v>
      </c>
      <c r="I7" s="21">
        <f>I5+I6</f>
        <v>10206.7388888889</v>
      </c>
    </row>
    <row r="8" spans="2:15" ht="15" customHeight="1" x14ac:dyDescent="0.2">
      <c r="B8" s="10" t="s">
        <v>26</v>
      </c>
      <c r="C8" s="12">
        <v>48709</v>
      </c>
      <c r="K8" s="5" t="s">
        <v>47</v>
      </c>
      <c r="L8" s="5"/>
      <c r="M8" s="5"/>
    </row>
    <row r="9" spans="2:15" ht="15" customHeight="1" x14ac:dyDescent="0.2">
      <c r="H9" s="7" t="s">
        <v>48</v>
      </c>
      <c r="I9" s="7"/>
      <c r="J9" s="23">
        <v>4.2451999999999997E-2</v>
      </c>
      <c r="K9" s="5"/>
      <c r="L9" s="5"/>
      <c r="M9" s="5"/>
    </row>
    <row r="10" spans="2:15" ht="15" customHeight="1" x14ac:dyDescent="0.2">
      <c r="E10" s="10" t="s">
        <v>49</v>
      </c>
      <c r="F10" s="43">
        <v>48620</v>
      </c>
      <c r="H10" s="10" t="inlineStr">
        <is>
          <t>Macaulay duration to call (years):</t>
        </is>
      </c>
      <c r="J10" s="17">
        <f>SUM(H13:H27)/2</f>
        <v>5.90051439896631</v>
      </c>
      <c r="K10" s="5"/>
      <c r="L10" s="5"/>
      <c r="M10" s="5"/>
    </row>
    <row r="11" spans="2:15" ht="15.75" customHeight="1" x14ac:dyDescent="0.2">
      <c r="B11" s="4" t="s">
        <v>50</v>
      </c>
      <c r="C11" s="4"/>
      <c r="D11" s="4"/>
      <c r="F11" s="44">
        <v>100</v>
      </c>
      <c r="H11" s="10" t="inlineStr">
        <is>
          <t>Modified duration to call (years):</t>
        </is>
      </c>
      <c r="J11" s="17">
        <f>J10/(1+J9/2)</f>
        <v>5.77787326112566</v>
      </c>
    </row>
    <row r="12" spans="2:15" ht="18" customHeight="1" x14ac:dyDescent="0.2">
      <c r="B12" s="24" t="s">
        <v>30</v>
      </c>
      <c r="C12" s="24" t="s">
        <v>31</v>
      </c>
      <c r="D12" s="24" t="s">
        <v>32</v>
      </c>
      <c r="E12" s="24" t="s">
        <v>51</v>
      </c>
      <c r="F12" s="24" t="s">
        <v>34</v>
      </c>
      <c r="G12" s="24" t="s">
        <v>35</v>
      </c>
      <c r="H12" s="24" t="s">
        <v>36</v>
      </c>
    </row>
    <row r="13" spans="2:15" ht="15" customHeight="1" x14ac:dyDescent="0.2">
      <c r="B13" s="25">
        <v>1</v>
      </c>
      <c r="C13" s="26">
        <v>46152</v>
      </c>
      <c r="D13" s="27">
        <f>34/180</f>
        <v>0.188888888888889</v>
      </c>
      <c r="E13" s="28">
        <f t="shared" ref="E13:E26" si="0">$I$4*$C$7/2</f>
        <v>215.0</v>
      </c>
      <c r="F13" s="28">
        <f t="shared" ref="F13:F27" si="1">E13/((1+$J$9/2)^D13)</f>
        <v>214.148699491935</v>
      </c>
      <c r="G13" s="29">
        <f t="shared" ref="G13:G27" si="2">F13/$I$7</f>
        <v>0.0209811088363452</v>
      </c>
      <c r="H13" s="30">
        <f t="shared" ref="H13:H27" si="3">D13*G13</f>
        <v>0.00396309833575409</v>
      </c>
    </row>
    <row r="14" spans="2:15" ht="15" customHeight="1" x14ac:dyDescent="0.2">
      <c r="B14" s="31">
        <v>2</v>
      </c>
      <c r="C14" s="32">
        <v>46336</v>
      </c>
      <c r="D14" s="33">
        <f>34/180+1</f>
        <v>1.18888888888889</v>
      </c>
      <c r="E14" s="34">
        <f t="shared" si="0"/>
        <v>215.0</v>
      </c>
      <c r="F14" s="34">
        <f t="shared" si="1"/>
        <v>209.697657023944</v>
      </c>
      <c r="G14" s="35">
        <f t="shared" si="2"/>
        <v>0.0205450202367989</v>
      </c>
      <c r="H14" s="36">
        <f t="shared" si="3"/>
        <v>0.0244257462815276</v>
      </c>
    </row>
    <row r="15" spans="2:15" ht="15" customHeight="1" x14ac:dyDescent="0.2">
      <c r="B15" s="25">
        <v>3</v>
      </c>
      <c r="C15" s="26">
        <v>46517</v>
      </c>
      <c r="D15" s="27">
        <f>34/180+2</f>
        <v>2.18888888888889</v>
      </c>
      <c r="E15" s="28">
        <f t="shared" si="0"/>
        <v>215.0</v>
      </c>
      <c r="F15" s="28">
        <f t="shared" si="1"/>
        <v>205.339128678612</v>
      </c>
      <c r="G15" s="29">
        <f t="shared" si="2"/>
        <v>0.0201179956609006</v>
      </c>
      <c r="H15" s="30">
        <f t="shared" si="3"/>
        <v>0.0440360571688602</v>
      </c>
    </row>
    <row r="16" spans="2:15" ht="15" customHeight="1" x14ac:dyDescent="0.2">
      <c r="B16" s="31">
        <v>4</v>
      </c>
      <c r="C16" s="32">
        <v>46701</v>
      </c>
      <c r="D16" s="33">
        <f>34/180+3</f>
        <v>3.18888888888889</v>
      </c>
      <c r="E16" s="34">
        <f t="shared" si="0"/>
        <v>215.0</v>
      </c>
      <c r="F16" s="34">
        <f t="shared" si="1"/>
        <v>201.071191566423</v>
      </c>
      <c r="G16" s="35">
        <f t="shared" si="2"/>
        <v>0.0196998467145378</v>
      </c>
      <c r="H16" s="36">
        <f t="shared" si="3"/>
        <v>0.0628206223008039</v>
      </c>
    </row>
    <row r="17" spans="2:8" ht="15" customHeight="1" x14ac:dyDescent="0.2">
      <c r="B17" s="25">
        <v>5</v>
      </c>
      <c r="C17" s="26">
        <v>46883</v>
      </c>
      <c r="D17" s="27">
        <f>34/180+4</f>
        <v>4.18888888888889</v>
      </c>
      <c r="E17" s="28">
        <f t="shared" si="0"/>
        <v>215.0</v>
      </c>
      <c r="F17" s="28">
        <f t="shared" si="1"/>
        <v>196.891962764778</v>
      </c>
      <c r="G17" s="29">
        <f t="shared" si="2"/>
        <v>0.019290388919336</v>
      </c>
      <c r="H17" s="30">
        <f t="shared" si="3"/>
        <v>0.0808052958065519</v>
      </c>
    </row>
    <row r="18" spans="2:8" ht="15" customHeight="1" x14ac:dyDescent="0.2">
      <c r="B18" s="31">
        <v>6</v>
      </c>
      <c r="C18" s="32">
        <v>47067</v>
      </c>
      <c r="D18" s="33">
        <f>34/180+5</f>
        <v>5.18888888888889</v>
      </c>
      <c r="E18" s="34">
        <f t="shared" si="0"/>
        <v>215.0</v>
      </c>
      <c r="F18" s="34">
        <f t="shared" si="1"/>
        <v>192.799598487287</v>
      </c>
      <c r="G18" s="35">
        <f t="shared" si="2"/>
        <v>0.0188894416312706</v>
      </c>
      <c r="H18" s="36">
        <f t="shared" si="3"/>
        <v>0.0980152137978155</v>
      </c>
    </row>
    <row r="19" spans="2:8" ht="15" customHeight="1" x14ac:dyDescent="0.2">
      <c r="B19" s="25">
        <v>7</v>
      </c>
      <c r="C19" s="26">
        <v>47248</v>
      </c>
      <c r="D19" s="27">
        <f>34/180+6</f>
        <v>6.18888888888889</v>
      </c>
      <c r="E19" s="28">
        <f t="shared" si="0"/>
        <v>215.0</v>
      </c>
      <c r="F19" s="28">
        <f t="shared" si="1"/>
        <v>188.792293270331</v>
      </c>
      <c r="G19" s="29">
        <f t="shared" si="2"/>
        <v>0.0184968279609711</v>
      </c>
      <c r="H19" s="30">
        <f t="shared" si="3"/>
        <v>0.114474813047343</v>
      </c>
    </row>
    <row r="20" spans="2:8" ht="15" customHeight="1" x14ac:dyDescent="0.2">
      <c r="B20" s="31">
        <v>8</v>
      </c>
      <c r="C20" s="32">
        <v>47432</v>
      </c>
      <c r="D20" s="33">
        <f>34/180+7</f>
        <v>7.18888888888889</v>
      </c>
      <c r="E20" s="34">
        <f t="shared" si="0"/>
        <v>215.0</v>
      </c>
      <c r="F20" s="34">
        <f t="shared" si="1"/>
        <v>184.86827917653</v>
      </c>
      <c r="G20" s="35">
        <f t="shared" si="2"/>
        <v>0.0181123746956806</v>
      </c>
      <c r="H20" s="36">
        <f t="shared" si="3"/>
        <v>0.13020784920117</v>
      </c>
    </row>
    <row r="21" spans="2:8" ht="15" customHeight="1" x14ac:dyDescent="0.2">
      <c r="B21" s="25">
        <v>9</v>
      </c>
      <c r="C21" s="26">
        <v>47613</v>
      </c>
      <c r="D21" s="27">
        <f>34/180+8</f>
        <v>8.18888888888889</v>
      </c>
      <c r="E21" s="28">
        <f t="shared" si="0"/>
        <v>215.0</v>
      </c>
      <c r="F21" s="28">
        <f t="shared" si="1"/>
        <v>181.025825014766</v>
      </c>
      <c r="G21" s="29">
        <f t="shared" si="2"/>
        <v>0.0177359122228386</v>
      </c>
      <c r="H21" s="30">
        <f t="shared" si="3"/>
        <v>0.145237414535912</v>
      </c>
    </row>
    <row r="22" spans="2:8" ht="15" customHeight="1" x14ac:dyDescent="0.2">
      <c r="B22" s="31">
        <v>10</v>
      </c>
      <c r="C22" s="32">
        <v>47797</v>
      </c>
      <c r="D22" s="33">
        <f>34/180+9</f>
        <v>9.18888888888889</v>
      </c>
      <c r="E22" s="34">
        <f t="shared" si="0"/>
        <v>215.0</v>
      </c>
      <c r="F22" s="34">
        <f t="shared" si="1"/>
        <v>177.263235576421</v>
      </c>
      <c r="G22" s="35">
        <f t="shared" si="2"/>
        <v>0.0173672744552514</v>
      </c>
      <c r="H22" s="36">
        <f t="shared" si="3"/>
        <v>0.159585955272144</v>
      </c>
    </row>
    <row r="23" spans="2:8" ht="15" customHeight="1" x14ac:dyDescent="0.2">
      <c r="B23" s="25">
        <v>11</v>
      </c>
      <c r="C23" s="26">
        <v>47978</v>
      </c>
      <c r="D23" s="27">
        <f>34/180+10</f>
        <v>10.1888888888889</v>
      </c>
      <c r="E23" s="28">
        <f t="shared" si="0"/>
        <v>215.0</v>
      </c>
      <c r="F23" s="28">
        <f t="shared" si="1"/>
        <v>173.578850887484</v>
      </c>
      <c r="G23" s="29">
        <f t="shared" si="2"/>
        <v>0.017006298757818</v>
      </c>
      <c r="H23" s="30">
        <f t="shared" si="3"/>
        <v>0.173275288454657</v>
      </c>
    </row>
    <row r="24" spans="2:8" ht="15" customHeight="1" x14ac:dyDescent="0.2">
      <c r="B24" s="31">
        <v>12</v>
      </c>
      <c r="C24" s="32">
        <v>48162</v>
      </c>
      <c r="D24" s="33">
        <f>34/180+11</f>
        <v>11.1888888888889</v>
      </c>
      <c r="E24" s="34">
        <f t="shared" si="0"/>
        <v>215.0</v>
      </c>
      <c r="F24" s="34">
        <f t="shared" si="1"/>
        <v>169.971045476206</v>
      </c>
      <c r="G24" s="35">
        <f t="shared" si="2"/>
        <v>0.0166528258757787</v>
      </c>
      <c r="H24" s="36">
        <f t="shared" si="3"/>
        <v>0.186326618410102</v>
      </c>
    </row>
    <row r="25" spans="2:8" ht="15" customHeight="1" x14ac:dyDescent="0.2">
      <c r="B25" s="25">
        <v>13</v>
      </c>
      <c r="C25" s="26">
        <v>48344</v>
      </c>
      <c r="D25" s="27">
        <f>34/180+12</f>
        <v>12.1888888888889</v>
      </c>
      <c r="E25" s="28">
        <f t="shared" si="0"/>
        <v>215.0</v>
      </c>
      <c r="F25" s="28">
        <f t="shared" si="1"/>
        <v>166.43822765598</v>
      </c>
      <c r="G25" s="29">
        <f t="shared" si="2"/>
        <v>0.0163066998644558</v>
      </c>
      <c r="H25" s="30">
        <f t="shared" si="3"/>
        <v>0.198760552792311</v>
      </c>
    </row>
    <row r="26" spans="2:8" ht="15" customHeight="1" x14ac:dyDescent="0.2">
      <c r="B26" s="31">
        <v>14</v>
      </c>
      <c r="C26" s="32">
        <v>48528</v>
      </c>
      <c r="D26" s="33">
        <f>34/180+13</f>
        <v>13.1888888888889</v>
      </c>
      <c r="E26" s="34">
        <f t="shared" si="0"/>
        <v>215.0</v>
      </c>
      <c r="F26" s="34">
        <f t="shared" si="1"/>
        <v>162.97883882312</v>
      </c>
      <c r="G26" s="35">
        <f t="shared" si="2"/>
        <v>0.0159677680204536</v>
      </c>
      <c r="H26" s="36">
        <f t="shared" si="3"/>
        <v>0.210597118225316</v>
      </c>
    </row>
    <row r="27" spans="2:8" ht="15" customHeight="1" x14ac:dyDescent="0.2">
      <c r="B27" s="25">
        <v>15</v>
      </c>
      <c r="C27" s="26">
        <v>48620</v>
      </c>
      <c r="D27" s="27">
        <f>34/180+13+90/180</f>
        <v>13.6888888888889</v>
      </c>
      <c r="E27" s="45">
        <f>$I$4*($F$11/100)+$I$4*$C$7/2*(90/180)</f>
        <v>10107.5</v>
      </c>
      <c r="F27" s="28">
        <f t="shared" si="1"/>
        <v>7581.85680290069</v>
      </c>
      <c r="G27" s="29">
        <f t="shared" si="2"/>
        <v>0.742828525882478</v>
      </c>
      <c r="H27" s="30">
        <f t="shared" si="3"/>
        <v>10.1684971543024</v>
      </c>
    </row>
    <row r="28" spans="2:8" ht="15" customHeight="1" x14ac:dyDescent="0.2">
      <c r="B28" s="6" t="s">
        <v>38</v>
      </c>
      <c r="C28" s="6"/>
      <c r="D28" s="6"/>
      <c r="E28" s="37">
        <f>SUM(E13:E27)</f>
        <v>13117.5</v>
      </c>
      <c r="F28" s="37">
        <f>SUM(F13:F27)</f>
        <v>10206.7216367945</v>
      </c>
    </row>
    <row r="29" spans="2:8" ht="15" customHeight="1" x14ac:dyDescent="0.2">
      <c r="E29" s="38">
        <f>$I$7</f>
        <v>10206.7388888889</v>
      </c>
    </row>
  </sheetData>
  <mergeCells count="9">
    <mergeCell ref="K8:M10"/>
    <mergeCell ref="H9:I9"/>
    <mergeCell ref="B11:D11"/>
    <mergeCell ref="B28:D28"/>
    <mergeCell ref="B1:O1"/>
    <mergeCell ref="B3:C3"/>
    <mergeCell ref="E3:F3"/>
    <mergeCell ref="H3:I3"/>
    <mergeCell ref="K3:M3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L19"/>
  <sheetViews>
    <sheetView zoomScaleNormal="100" workbookViewId="0">
      <selection activeCell="I63" sqref="I63"/>
    </sheetView>
  </sheetViews>
  <sheetFormatPr baseColWidth="10" defaultColWidth="8.6640625" defaultRowHeight="15" x14ac:dyDescent="0.2"/>
  <cols>
    <col min="1" max="1" width="3" customWidth="1"/>
    <col min="2" max="2" width="22" customWidth="1"/>
    <col min="3" max="3" width="16" customWidth="1"/>
    <col min="4" max="4" width="3" customWidth="1"/>
    <col min="5" max="5" width="20" customWidth="1"/>
    <col min="6" max="6" width="14" customWidth="1"/>
    <col min="7" max="7" width="3" customWidth="1"/>
    <col min="8" max="8" width="20" customWidth="1"/>
    <col min="9" max="11" width="13" customWidth="1"/>
    <col min="12" max="12" width="16" customWidth="1"/>
  </cols>
  <sheetData>
    <row r="1" spans="2:12" ht="21.75" customHeight="1" x14ac:dyDescent="0.2">
      <c r="B1" s="9" t="s">
        <v>52</v>
      </c>
      <c r="C1" s="9"/>
      <c r="D1" s="9"/>
      <c r="E1" s="9"/>
      <c r="F1" s="9"/>
      <c r="G1" s="9"/>
      <c r="H1" s="9"/>
      <c r="I1" s="9"/>
      <c r="J1" s="9"/>
      <c r="K1" s="9"/>
      <c r="L1" s="9"/>
    </row>
    <row r="3" spans="2:12" ht="15" customHeight="1" x14ac:dyDescent="0.2">
      <c r="B3" s="3" t="s">
        <v>1</v>
      </c>
      <c r="C3" s="3"/>
      <c r="E3" s="3" t="s">
        <v>2</v>
      </c>
      <c r="F3" s="3"/>
      <c r="H3" s="3" t="s">
        <v>40</v>
      </c>
      <c r="I3" s="3"/>
      <c r="J3" s="3"/>
      <c r="K3" s="3"/>
      <c r="L3" s="3"/>
    </row>
    <row r="4" spans="2:12" ht="15" customHeight="1" x14ac:dyDescent="0.2">
      <c r="B4" s="10" t="s">
        <v>6</v>
      </c>
      <c r="C4" s="46" t="s">
        <v>7</v>
      </c>
      <c r="E4" s="10" t="s">
        <v>53</v>
      </c>
      <c r="F4" s="47">
        <v>46115</v>
      </c>
      <c r="H4" s="48" t="s">
        <v>54</v>
      </c>
      <c r="I4" s="48" t="s">
        <v>42</v>
      </c>
      <c r="J4" s="48" t="s">
        <v>55</v>
      </c>
      <c r="K4" s="48"/>
      <c r="L4" s="48" t="s">
        <v>56</v>
      </c>
    </row>
    <row r="5" spans="2:12" ht="15" customHeight="1" x14ac:dyDescent="0.2">
      <c r="B5" s="10" t="s">
        <v>11</v>
      </c>
      <c r="C5" s="46" t="s">
        <v>12</v>
      </c>
      <c r="E5" s="10" t="s">
        <v>13</v>
      </c>
      <c r="F5" s="47">
        <v>46118</v>
      </c>
      <c r="H5" s="49">
        <v>48620</v>
      </c>
      <c r="I5" s="50">
        <v>100</v>
      </c>
      <c r="J5" s="51">
        <v>4.2451999999999997E-2</v>
      </c>
      <c r="L5" s="52" t="s">
        <v>56</v>
      </c>
    </row>
    <row r="6" spans="2:12" ht="15" customHeight="1" x14ac:dyDescent="0.2">
      <c r="B6" s="10" t="s">
        <v>17</v>
      </c>
      <c r="C6" s="46" t="s">
        <v>18</v>
      </c>
      <c r="E6" s="10" t="s">
        <v>19</v>
      </c>
      <c r="F6" s="53">
        <v>100.3235</v>
      </c>
      <c r="H6" s="26">
        <v>48648</v>
      </c>
      <c r="I6" s="54">
        <v>100</v>
      </c>
      <c r="J6" s="55">
        <v>4.2455E-2</v>
      </c>
    </row>
    <row r="7" spans="2:12" ht="15" customHeight="1" x14ac:dyDescent="0.2">
      <c r="B7" s="10" t="s">
        <v>21</v>
      </c>
      <c r="C7" s="56">
        <v>4.2999999999999997E-2</v>
      </c>
      <c r="H7" s="26">
        <v>48679</v>
      </c>
      <c r="I7" s="54">
        <v>100</v>
      </c>
      <c r="J7" s="55">
        <v>4.2458000000000003E-2</v>
      </c>
    </row>
    <row r="8" spans="2:12" ht="15" customHeight="1" x14ac:dyDescent="0.2">
      <c r="B8" s="10" t="s">
        <v>26</v>
      </c>
      <c r="C8" s="47">
        <v>48709</v>
      </c>
      <c r="H8" s="26">
        <v>48709</v>
      </c>
      <c r="I8" s="54">
        <v>100</v>
      </c>
      <c r="J8" s="55">
        <v>4.2459999999999998E-2</v>
      </c>
    </row>
    <row r="11" spans="2:12" ht="15" customHeight="1" x14ac:dyDescent="0.2">
      <c r="B11" s="10" t="s">
        <v>49</v>
      </c>
      <c r="C11" s="47">
        <v>48620</v>
      </c>
    </row>
    <row r="12" spans="2:12" ht="15" customHeight="1" x14ac:dyDescent="0.2">
      <c r="B12" s="10" t="s">
        <v>42</v>
      </c>
      <c r="C12" s="57">
        <v>100</v>
      </c>
    </row>
    <row r="14" spans="2:12" ht="15" customHeight="1" x14ac:dyDescent="0.2">
      <c r="B14" s="2" t="s">
        <v>57</v>
      </c>
      <c r="C14" s="2"/>
      <c r="D14" s="2"/>
    </row>
    <row r="15" spans="2:12" ht="15" customHeight="1" x14ac:dyDescent="0.2">
      <c r="B15" s="58" t="s">
        <v>41</v>
      </c>
      <c r="C15" s="58" t="s">
        <v>55</v>
      </c>
    </row>
    <row r="16" spans="2:12" ht="15" customHeight="1" x14ac:dyDescent="0.2">
      <c r="B16" s="59" t="s">
        <v>58</v>
      </c>
      <c r="C16" s="41">
        <v>4.2451999999999997E-2</v>
      </c>
    </row>
    <row r="17" spans="2:3" ht="15" customHeight="1" x14ac:dyDescent="0.2">
      <c r="B17" s="25" t="s">
        <v>59</v>
      </c>
      <c r="C17" s="60">
        <v>4.2455E-2</v>
      </c>
    </row>
    <row r="18" spans="2:3" ht="15" customHeight="1" x14ac:dyDescent="0.2">
      <c r="B18" s="25" t="s">
        <v>60</v>
      </c>
      <c r="C18" s="60">
        <v>4.2458000000000003E-2</v>
      </c>
    </row>
    <row r="19" spans="2:3" ht="15" customHeight="1" x14ac:dyDescent="0.2">
      <c r="B19" s="25" t="s">
        <v>61</v>
      </c>
      <c r="C19" s="60">
        <v>4.2459999999999998E-2</v>
      </c>
    </row>
  </sheetData>
  <mergeCells count="5">
    <mergeCell ref="B1:L1"/>
    <mergeCell ref="B3:C3"/>
    <mergeCell ref="E3:F3"/>
    <mergeCell ref="H3:L3"/>
    <mergeCell ref="B14:D14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41"/>
  <sheetViews>
    <sheetView tabSelected="1" zoomScaleNormal="100" workbookViewId="0">
      <selection activeCell="D5" sqref="D5"/>
    </sheetView>
  </sheetViews>
  <sheetFormatPr baseColWidth="10" defaultColWidth="8.6640625" defaultRowHeight="15" x14ac:dyDescent="0.2"/>
  <cols>
    <col min="1" max="1" width="32" customWidth="1"/>
    <col min="2" max="2" width="19.33203125" customWidth="1"/>
    <col min="3" max="3" width="16" customWidth="1"/>
    <col min="4" max="4" width="18" customWidth="1"/>
    <col min="5" max="5" width="3" customWidth="1"/>
  </cols>
  <sheetData>
    <row r="1" spans="1:4" ht="18" customHeight="1" x14ac:dyDescent="0.2">
      <c r="A1" s="1" t="s">
        <v>62</v>
      </c>
      <c r="B1" s="1"/>
      <c r="C1" s="1"/>
      <c r="D1" s="1"/>
    </row>
    <row r="3" spans="1:4" x14ac:dyDescent="0.2">
      <c r="A3" s="10" t="s">
        <v>63</v>
      </c>
      <c r="B3" s="10" t="s">
        <v>64</v>
      </c>
      <c r="C3" s="73"/>
    </row>
    <row r="4" spans="1:4" x14ac:dyDescent="0.2">
      <c r="A4" s="10" t="s">
        <v>19</v>
      </c>
      <c r="B4" s="13">
        <v>100.3235</v>
      </c>
    </row>
    <row r="5" spans="1:4" x14ac:dyDescent="0.2">
      <c r="A5" s="10" t="s">
        <v>65</v>
      </c>
      <c r="B5" s="61">
        <v>4.2451999999999997E-2</v>
      </c>
    </row>
    <row r="8" spans="1:4" x14ac:dyDescent="0.2">
      <c r="A8" s="10" t="s">
        <v>66</v>
      </c>
      <c r="B8" s="62">
        <v>5.7779999999999996</v>
      </c>
    </row>
    <row r="9" spans="1:4" x14ac:dyDescent="0.2">
      <c r="A9" s="10" t="s">
        <v>67</v>
      </c>
      <c r="B9" s="63">
        <v>39</v>
      </c>
    </row>
    <row r="10" spans="1:4" ht="27.75" customHeight="1" x14ac:dyDescent="0.2">
      <c r="A10" s="64" t="s">
        <v>63</v>
      </c>
      <c r="B10" s="64" t="s">
        <v>64</v>
      </c>
      <c r="C10" s="64" t="s">
        <v>68</v>
      </c>
      <c r="D10" s="64" t="s">
        <v>69</v>
      </c>
    </row>
    <row r="11" spans="1:4" ht="13.5" customHeight="1" x14ac:dyDescent="0.2">
      <c r="A11" s="65">
        <v>0</v>
      </c>
      <c r="B11" s="66">
        <f t="shared" ref="B11:B41" si="0">PRICE(DATE(2026,4,6),DATE(2033,5,10),0.043,A11,100,2,0)</f>
        <v>130.50611111111112</v>
      </c>
      <c r="C11" s="67">
        <f t="shared" ref="C11:C41" si="1">$B$4*(1-(A11-$B$5)*$B$8)</f>
        <v>124.93161615671599</v>
      </c>
      <c r="D11" s="67">
        <f t="shared" ref="D11:D41" si="2">$B$4*(1-(A11-$B$5)*$B$8+0.5*$B$9*(A11-$B$5)^2)</f>
        <v>128.4572207029527</v>
      </c>
    </row>
    <row r="12" spans="1:4" ht="13.5" customHeight="1" x14ac:dyDescent="0.2">
      <c r="A12" s="68">
        <v>5.0000000000000001E-3</v>
      </c>
      <c r="B12" s="69">
        <f t="shared" si="0"/>
        <v>126.45346473252503</v>
      </c>
      <c r="C12" s="27">
        <f t="shared" si="1"/>
        <v>122.033270241716</v>
      </c>
      <c r="D12" s="27">
        <f t="shared" si="2"/>
        <v>124.77729051591271</v>
      </c>
    </row>
    <row r="13" spans="1:4" ht="13.5" customHeight="1" x14ac:dyDescent="0.2">
      <c r="A13" s="65">
        <v>0.01</v>
      </c>
      <c r="B13" s="66">
        <f t="shared" si="0"/>
        <v>122.54533198299967</v>
      </c>
      <c r="C13" s="67">
        <f t="shared" si="1"/>
        <v>119.13492432671599</v>
      </c>
      <c r="D13" s="67">
        <f t="shared" si="2"/>
        <v>121.19517574137269</v>
      </c>
    </row>
    <row r="14" spans="1:4" ht="13.5" customHeight="1" x14ac:dyDescent="0.2">
      <c r="A14" s="68">
        <v>1.4999999999999999E-2</v>
      </c>
      <c r="B14" s="69">
        <f t="shared" si="0"/>
        <v>118.77612279651508</v>
      </c>
      <c r="C14" s="27">
        <f t="shared" si="1"/>
        <v>116.23657841171598</v>
      </c>
      <c r="D14" s="27">
        <f t="shared" si="2"/>
        <v>117.71087637933269</v>
      </c>
    </row>
    <row r="15" spans="1:4" ht="13.5" customHeight="1" x14ac:dyDescent="0.2">
      <c r="A15" s="65">
        <v>0.02</v>
      </c>
      <c r="B15" s="66">
        <f t="shared" si="0"/>
        <v>115.14047805195396</v>
      </c>
      <c r="C15" s="67">
        <f t="shared" si="1"/>
        <v>113.338232496716</v>
      </c>
      <c r="D15" s="67">
        <f t="shared" si="2"/>
        <v>114.3243924297927</v>
      </c>
    </row>
    <row r="16" spans="1:4" ht="13.5" customHeight="1" x14ac:dyDescent="0.2">
      <c r="A16" s="68">
        <v>2.5000000000000001E-2</v>
      </c>
      <c r="B16" s="69">
        <f t="shared" si="0"/>
        <v>111.63325945850181</v>
      </c>
      <c r="C16" s="27">
        <f t="shared" si="1"/>
        <v>110.439886581716</v>
      </c>
      <c r="D16" s="27">
        <f t="shared" si="2"/>
        <v>111.03572389275271</v>
      </c>
    </row>
    <row r="17" spans="1:4" ht="13.5" customHeight="1" x14ac:dyDescent="0.2">
      <c r="A17" s="65">
        <v>0.03</v>
      </c>
      <c r="B17" s="66">
        <f t="shared" si="0"/>
        <v>108.24953990840848</v>
      </c>
      <c r="C17" s="67">
        <f t="shared" si="1"/>
        <v>107.541540666716</v>
      </c>
      <c r="D17" s="67">
        <f t="shared" si="2"/>
        <v>107.84487076821272</v>
      </c>
    </row>
    <row r="18" spans="1:4" ht="13.5" customHeight="1" x14ac:dyDescent="0.2">
      <c r="A18" s="68">
        <v>3.5000000000000003E-2</v>
      </c>
      <c r="B18" s="69">
        <f t="shared" si="0"/>
        <v>104.98459427440476</v>
      </c>
      <c r="C18" s="27">
        <f t="shared" si="1"/>
        <v>104.643194751716</v>
      </c>
      <c r="D18" s="27">
        <f t="shared" si="2"/>
        <v>104.75183305617271</v>
      </c>
    </row>
    <row r="19" spans="1:4" ht="13.5" customHeight="1" x14ac:dyDescent="0.2">
      <c r="A19" s="65">
        <v>0.04</v>
      </c>
      <c r="B19" s="66">
        <f t="shared" si="0"/>
        <v>101.83389063023296</v>
      </c>
      <c r="C19" s="67">
        <f t="shared" si="1"/>
        <v>101.74484883671599</v>
      </c>
      <c r="D19" s="67">
        <f t="shared" si="2"/>
        <v>101.7566107566327</v>
      </c>
    </row>
    <row r="20" spans="1:4" ht="13.5" customHeight="1" x14ac:dyDescent="0.2">
      <c r="A20" s="70">
        <v>4.4999999999999998E-2</v>
      </c>
      <c r="B20" s="71">
        <f t="shared" si="0"/>
        <v>98.793081873836044</v>
      </c>
      <c r="C20" s="72">
        <f t="shared" si="1"/>
        <v>98.846502921715995</v>
      </c>
      <c r="D20" s="72">
        <f t="shared" si="2"/>
        <v>98.859203869592704</v>
      </c>
    </row>
    <row r="21" spans="1:4" ht="13.5" customHeight="1" x14ac:dyDescent="0.2">
      <c r="A21" s="65">
        <v>0.05</v>
      </c>
      <c r="B21" s="66">
        <f t="shared" si="0"/>
        <v>95.857997733796211</v>
      </c>
      <c r="C21" s="67">
        <f t="shared" si="1"/>
        <v>95.948157006715988</v>
      </c>
      <c r="D21" s="67">
        <f t="shared" si="2"/>
        <v>96.05961239505271</v>
      </c>
    </row>
    <row r="22" spans="1:4" ht="13.5" customHeight="1" x14ac:dyDescent="0.2">
      <c r="A22" s="68">
        <v>5.5E-2</v>
      </c>
      <c r="B22" s="69">
        <f t="shared" si="0"/>
        <v>93.024637140585</v>
      </c>
      <c r="C22" s="27">
        <f t="shared" si="1"/>
        <v>93.049811091715995</v>
      </c>
      <c r="D22" s="27">
        <f t="shared" si="2"/>
        <v>93.357836333012699</v>
      </c>
    </row>
    <row r="23" spans="1:4" ht="13.5" customHeight="1" x14ac:dyDescent="0.2">
      <c r="A23" s="65">
        <v>0.06</v>
      </c>
      <c r="B23" s="66">
        <f t="shared" si="0"/>
        <v>90.289160945123399</v>
      </c>
      <c r="C23" s="67">
        <f t="shared" si="1"/>
        <v>90.151465176716002</v>
      </c>
      <c r="D23" s="67">
        <f t="shared" si="2"/>
        <v>90.753875683472714</v>
      </c>
    </row>
    <row r="24" spans="1:4" ht="13.5" customHeight="1" x14ac:dyDescent="0.2">
      <c r="A24" s="68">
        <v>6.5000000000000002E-2</v>
      </c>
      <c r="B24" s="69">
        <f t="shared" si="0"/>
        <v>87.64788496802484</v>
      </c>
      <c r="C24" s="27">
        <f t="shared" si="1"/>
        <v>87.253119261715995</v>
      </c>
      <c r="D24" s="27">
        <f t="shared" si="2"/>
        <v>88.247730446432698</v>
      </c>
    </row>
    <row r="25" spans="1:4" ht="13.5" customHeight="1" x14ac:dyDescent="0.2">
      <c r="A25" s="65">
        <v>7.0000000000000007E-2</v>
      </c>
      <c r="B25" s="66">
        <f t="shared" si="0"/>
        <v>85.097273363735368</v>
      </c>
      <c r="C25" s="67">
        <f t="shared" si="1"/>
        <v>84.354773346715987</v>
      </c>
      <c r="D25" s="67">
        <f t="shared" si="2"/>
        <v>85.839400621892707</v>
      </c>
    </row>
    <row r="26" spans="1:4" ht="13.5" customHeight="1" x14ac:dyDescent="0.2">
      <c r="A26" s="68">
        <v>7.4999999999999997E-2</v>
      </c>
      <c r="B26" s="69">
        <f t="shared" si="0"/>
        <v>82.63393228456809</v>
      </c>
      <c r="C26" s="27">
        <f t="shared" si="1"/>
        <v>81.456427431715994</v>
      </c>
      <c r="D26" s="27">
        <f t="shared" si="2"/>
        <v>83.528886209852701</v>
      </c>
    </row>
    <row r="27" spans="1:4" ht="13.5" customHeight="1" x14ac:dyDescent="0.2">
      <c r="A27" s="65">
        <v>0.08</v>
      </c>
      <c r="B27" s="66">
        <f t="shared" si="0"/>
        <v>80.254603830383942</v>
      </c>
      <c r="C27" s="67">
        <f t="shared" si="1"/>
        <v>78.558081516715987</v>
      </c>
      <c r="D27" s="67">
        <f t="shared" si="2"/>
        <v>81.316187210312705</v>
      </c>
    </row>
    <row r="28" spans="1:4" ht="13.5" customHeight="1" x14ac:dyDescent="0.2">
      <c r="A28" s="68">
        <v>8.5000000000000006E-2</v>
      </c>
      <c r="B28" s="69">
        <f t="shared" si="0"/>
        <v>77.956160270374468</v>
      </c>
      <c r="C28" s="27">
        <f t="shared" si="1"/>
        <v>75.659735601715994</v>
      </c>
      <c r="D28" s="27">
        <f t="shared" si="2"/>
        <v>79.201303623272707</v>
      </c>
    </row>
    <row r="29" spans="1:4" ht="13.5" customHeight="1" x14ac:dyDescent="0.2">
      <c r="A29" s="65">
        <v>0.09</v>
      </c>
      <c r="B29" s="66">
        <f t="shared" si="0"/>
        <v>75.735598524083272</v>
      </c>
      <c r="C29" s="67">
        <f t="shared" si="1"/>
        <v>72.761389686716001</v>
      </c>
      <c r="D29" s="67">
        <f t="shared" si="2"/>
        <v>77.184235448732693</v>
      </c>
    </row>
    <row r="30" spans="1:4" ht="13.5" customHeight="1" x14ac:dyDescent="0.2">
      <c r="A30" s="68">
        <v>9.5000000000000001E-2</v>
      </c>
      <c r="B30" s="69">
        <f t="shared" si="0"/>
        <v>73.59003488943263</v>
      </c>
      <c r="C30" s="27">
        <f t="shared" si="1"/>
        <v>69.863043771715994</v>
      </c>
      <c r="D30" s="27">
        <f t="shared" si="2"/>
        <v>75.264982686692704</v>
      </c>
    </row>
    <row r="31" spans="1:4" ht="13.5" customHeight="1" x14ac:dyDescent="0.2">
      <c r="A31" s="65">
        <v>0.1</v>
      </c>
      <c r="B31" s="66">
        <f t="shared" si="0"/>
        <v>71.516700006132666</v>
      </c>
      <c r="C31" s="67">
        <f t="shared" si="1"/>
        <v>66.964697856716001</v>
      </c>
      <c r="D31" s="67">
        <f t="shared" si="2"/>
        <v>73.443545337152713</v>
      </c>
    </row>
    <row r="32" spans="1:4" ht="13.5" customHeight="1" x14ac:dyDescent="0.2">
      <c r="A32" s="68">
        <v>0.105</v>
      </c>
      <c r="B32" s="69">
        <f t="shared" si="0"/>
        <v>69.51293404341871</v>
      </c>
      <c r="C32" s="27">
        <f t="shared" si="1"/>
        <v>64.066351941716007</v>
      </c>
      <c r="D32" s="27">
        <f t="shared" si="2"/>
        <v>71.719923400112719</v>
      </c>
    </row>
    <row r="33" spans="1:4" ht="13.5" customHeight="1" x14ac:dyDescent="0.2">
      <c r="A33" s="65">
        <v>0.11</v>
      </c>
      <c r="B33" s="66">
        <f t="shared" si="0"/>
        <v>67.57618210161273</v>
      </c>
      <c r="C33" s="67">
        <f t="shared" si="1"/>
        <v>61.168006026716007</v>
      </c>
      <c r="D33" s="67">
        <f t="shared" si="2"/>
        <v>70.094116875572709</v>
      </c>
    </row>
    <row r="34" spans="1:4" ht="13.5" customHeight="1" x14ac:dyDescent="0.2">
      <c r="A34" s="68">
        <v>0.115</v>
      </c>
      <c r="B34" s="69">
        <f t="shared" si="0"/>
        <v>65.70398981751471</v>
      </c>
      <c r="C34" s="27">
        <f t="shared" si="1"/>
        <v>58.269660111716</v>
      </c>
      <c r="D34" s="27">
        <f t="shared" si="2"/>
        <v>68.56612576353271</v>
      </c>
    </row>
    <row r="35" spans="1:4" ht="13.5" customHeight="1" x14ac:dyDescent="0.2">
      <c r="A35" s="65">
        <v>0.12</v>
      </c>
      <c r="B35" s="66">
        <f t="shared" si="0"/>
        <v>63.893999164123713</v>
      </c>
      <c r="C35" s="67">
        <f t="shared" si="1"/>
        <v>55.371314196715993</v>
      </c>
      <c r="D35" s="67">
        <f t="shared" si="2"/>
        <v>67.135950063992709</v>
      </c>
    </row>
    <row r="36" spans="1:4" ht="13.5" customHeight="1" x14ac:dyDescent="0.2">
      <c r="A36" s="68">
        <v>0.125</v>
      </c>
      <c r="B36" s="69">
        <f t="shared" si="0"/>
        <v>62.143944435648621</v>
      </c>
      <c r="C36" s="27">
        <f t="shared" si="1"/>
        <v>52.472968281715993</v>
      </c>
      <c r="D36" s="27">
        <f t="shared" si="2"/>
        <v>65.803589776952705</v>
      </c>
    </row>
    <row r="37" spans="1:4" ht="13.5" customHeight="1" x14ac:dyDescent="0.2">
      <c r="A37" s="65">
        <v>0.13</v>
      </c>
      <c r="B37" s="66">
        <f t="shared" si="0"/>
        <v>60.451648409214627</v>
      </c>
      <c r="C37" s="67">
        <f t="shared" si="1"/>
        <v>49.574622366716</v>
      </c>
      <c r="D37" s="67">
        <f t="shared" si="2"/>
        <v>64.569044902412713</v>
      </c>
    </row>
    <row r="38" spans="1:4" ht="13.5" customHeight="1" x14ac:dyDescent="0.2">
      <c r="A38" s="68">
        <v>0.13500000000000001</v>
      </c>
      <c r="B38" s="69">
        <f t="shared" si="0"/>
        <v>58.815018675084531</v>
      </c>
      <c r="C38" s="27">
        <f t="shared" si="1"/>
        <v>46.676276451715992</v>
      </c>
      <c r="D38" s="27">
        <f t="shared" si="2"/>
        <v>63.432315440372705</v>
      </c>
    </row>
    <row r="39" spans="1:4" ht="13.5" customHeight="1" x14ac:dyDescent="0.2">
      <c r="A39" s="65">
        <v>0.14000000000000001</v>
      </c>
      <c r="B39" s="66">
        <f t="shared" si="0"/>
        <v>57.232044127613541</v>
      </c>
      <c r="C39" s="67">
        <f t="shared" si="1"/>
        <v>43.777930536715992</v>
      </c>
      <c r="D39" s="67">
        <f t="shared" si="2"/>
        <v>62.393401390832715</v>
      </c>
    </row>
    <row r="40" spans="1:4" ht="13.5" customHeight="1" x14ac:dyDescent="0.2">
      <c r="A40" s="68">
        <v>0.14499999999999999</v>
      </c>
      <c r="B40" s="69">
        <f t="shared" si="0"/>
        <v>55.700791609533624</v>
      </c>
      <c r="C40" s="27">
        <f t="shared" si="1"/>
        <v>40.879584621716006</v>
      </c>
      <c r="D40" s="27">
        <f t="shared" si="2"/>
        <v>61.452302753792708</v>
      </c>
    </row>
    <row r="41" spans="1:4" ht="13.5" customHeight="1" x14ac:dyDescent="0.2">
      <c r="A41" s="65">
        <v>0.15</v>
      </c>
      <c r="B41" s="66">
        <f t="shared" si="0"/>
        <v>54.219402702517641</v>
      </c>
      <c r="C41" s="67">
        <f t="shared" si="1"/>
        <v>37.981238706715999</v>
      </c>
      <c r="D41" s="67">
        <f t="shared" si="2"/>
        <v>60.609019529252706</v>
      </c>
    </row>
  </sheetData>
  <mergeCells count="1">
    <mergeCell ref="A1:D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YIELD TO MATURITY</vt:lpstr>
      <vt:lpstr>YIELD TO CALL</vt:lpstr>
      <vt:lpstr>CALL SCHEDULE</vt:lpstr>
      <vt:lpstr>PRICE YIELD CURVE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Taruni Komma</cp:lastModifiedBy>
  <cp:revision>5</cp:revision>
  <dcterms:created xsi:type="dcterms:W3CDTF">2026-04-03T17:44:32Z</dcterms:created>
  <dcterms:modified xsi:type="dcterms:W3CDTF">2026-04-03T19:11:33Z</dcterms:modified>
  <dc:language>en-US</dc:language>
</cp:coreProperties>
</file>